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l.localhost\Ubuntu\home\anildo\projetos\analise-preditiva-vendas\"/>
    </mc:Choice>
  </mc:AlternateContent>
  <xr:revisionPtr revIDLastSave="0" documentId="13_ncr:1_{D4B72513-6679-4B45-9808-2D83219A52A6}" xr6:coauthVersionLast="47" xr6:coauthVersionMax="47" xr10:uidLastSave="{00000000-0000-0000-0000-000000000000}"/>
  <bookViews>
    <workbookView xWindow="-120" yWindow="-120" windowWidth="20730" windowHeight="11160" xr2:uid="{00000000-000D-0000-FFFF-FFFF00000000}"/>
  </bookViews>
  <sheets>
    <sheet name="Página1" sheetId="1" r:id="rId1"/>
    <sheet name="Página2" sheetId="2" r:id="rId2"/>
    <sheet name="resumos_relatori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26" i="1" l="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<sst xmlns="http://schemas.openxmlformats.org/spreadsheetml/2006/main" count="681" uniqueCount="680">
  <si>
    <t>data</t>
  </si>
  <si>
    <t>atendimentos</t>
  </si>
  <si>
    <t>venda</t>
  </si>
  <si>
    <t>cancelamento</t>
  </si>
  <si>
    <t>valor_cancelado</t>
  </si>
  <si>
    <t>atendimento_liquido</t>
  </si>
  <si>
    <t>valor_total</t>
  </si>
  <si>
    <t>ticket_medio</t>
  </si>
  <si>
    <t>mes/ano</t>
  </si>
  <si>
    <t>01/07/2025</t>
  </si>
  <si>
    <t>02/07/2025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</si>
  <si>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</si>
  <si>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</si>
  <si>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</si>
  <si>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</si>
  <si>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</si>
  <si>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</si>
  <si>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</si>
  <si>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</si>
  <si>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</si>
  <si>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</si>
  <si>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</si>
  <si>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</si>
  <si>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</si>
  <si>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</si>
  <si>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</si>
  <si>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</si>
  <si>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</si>
  <si>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</si>
  <si>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</si>
  <si>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</si>
  <si>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</si>
  <si>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</si>
  <si>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</si>
  <si>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</si>
  <si>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</si>
  <si>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</si>
  <si>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</si>
  <si>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</si>
  <si>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</si>
  <si>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</si>
  <si>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</si>
  <si>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</si>
  <si>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</si>
  <si>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</si>
  <si>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</si>
  <si>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</si>
  <si>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</si>
  <si>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</si>
  <si>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</si>
  <si>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</si>
  <si>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</si>
  <si>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</si>
  <si>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</si>
  <si>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</si>
  <si>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</si>
  <si>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</si>
  <si>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</si>
  <si>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</si>
  <si>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</si>
  <si>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</si>
  <si>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</si>
  <si>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</si>
  <si>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</si>
  <si>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</si>
  <si>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</si>
  <si>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</si>
  <si>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</si>
  <si>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</si>
  <si>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</si>
  <si>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</si>
  <si>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</si>
  <si>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</si>
  <si>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</si>
  <si>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</si>
  <si>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</si>
  <si>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</si>
  <si>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</si>
  <si>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</si>
  <si>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</si>
  <si>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</si>
  <si>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</si>
  <si>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</si>
  <si>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</si>
  <si>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</si>
  <si>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</si>
  <si>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</si>
  <si>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</si>
  <si>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</si>
  <si>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</si>
  <si>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</si>
  <si>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</si>
  <si>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</si>
  <si>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</si>
  <si>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</si>
  <si>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</si>
  <si>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</si>
  <si>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</si>
  <si>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</si>
  <si>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</si>
  <si>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</si>
  <si>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</si>
  <si>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</si>
  <si>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</si>
  <si>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</si>
  <si>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</si>
  <si>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</si>
  <si>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</si>
  <si>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</si>
  <si>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</si>
  <si>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</si>
  <si>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</si>
  <si>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</si>
  <si>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</si>
  <si>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</si>
  <si>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</si>
  <si>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</si>
  <si>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</si>
  <si>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</si>
  <si>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</si>
  <si>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</si>
  <si>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</si>
  <si>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</si>
  <si>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</si>
  <si>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</si>
  <si>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</si>
  <si>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</si>
  <si>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</si>
  <si>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</si>
  <si>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</si>
  <si>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</si>
  <si>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</si>
  <si>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</si>
  <si>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</si>
  <si>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</si>
  <si>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</si>
  <si>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</si>
  <si>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</si>
  <si>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</si>
  <si>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</si>
  <si>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</si>
  <si>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</si>
  <si>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</si>
  <si>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</si>
  <si>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</si>
  <si>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</si>
  <si>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</si>
  <si>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</si>
  <si>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</si>
  <si>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</si>
  <si>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</si>
  <si>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</si>
  <si>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</si>
  <si>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</si>
  <si>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</si>
  <si>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</si>
  <si>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</si>
  <si>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</si>
  <si>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</si>
  <si>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</si>
  <si>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</si>
  <si>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</si>
  <si>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</si>
  <si>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</si>
  <si>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</si>
  <si>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</si>
  <si>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</si>
  <si>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</si>
  <si>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</si>
  <si>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</si>
  <si>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</si>
  <si>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</si>
  <si>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</si>
  <si>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</si>
  <si>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</si>
  <si>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</si>
  <si>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</si>
  <si>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</si>
  <si>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</si>
  <si>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</si>
  <si>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</si>
  <si>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</si>
  <si>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</si>
  <si>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</si>
  <si>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</si>
  <si>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</si>
  <si>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</si>
  <si>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</si>
  <si>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</si>
  <si>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</si>
  <si>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</si>
  <si>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</si>
  <si>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</si>
  <si>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</si>
  <si>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</si>
  <si>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</si>
  <si>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</si>
  <si>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</si>
  <si>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</si>
  <si>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</si>
  <si>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</si>
  <si>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</si>
  <si>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</si>
  <si>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</si>
  <si>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</si>
  <si>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</si>
  <si>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</si>
  <si>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</si>
  <si>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</si>
  <si>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</si>
  <si>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</si>
  <si>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</si>
  <si>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</si>
  <si>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</si>
  <si>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</si>
  <si>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</si>
  <si>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</si>
  <si>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</si>
  <si>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</si>
  <si>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</si>
  <si>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</si>
  <si>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</si>
  <si>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</si>
  <si>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</si>
  <si>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</si>
  <si>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</si>
  <si>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</si>
  <si>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</si>
  <si>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</si>
  <si>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</si>
  <si>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</si>
  <si>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</si>
  <si>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</si>
  <si>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</si>
  <si>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</si>
  <si>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</si>
  <si>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</si>
  <si>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</si>
  <si>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</si>
  <si>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</si>
  <si>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</si>
  <si>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</si>
  <si>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</si>
  <si>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</si>
  <si>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</si>
  <si>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22/02/2026</t>
  </si>
  <si>
    <t>23/02/2026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</si>
  <si>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</si>
  <si>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</si>
  <si>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</si>
  <si>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</si>
  <si>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</si>
  <si>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</si>
  <si>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</si>
  <si>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</si>
  <si>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</si>
  <si>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</si>
  <si>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</si>
  <si>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</si>
  <si>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</si>
  <si>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</si>
  <si>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</si>
  <si>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</si>
  <si>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</si>
  <si>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</si>
  <si>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</si>
  <si>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</si>
  <si>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</si>
  <si>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</si>
  <si>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</si>
  <si>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</si>
  <si>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</si>
  <si>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</si>
  <si>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</si>
  <si>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</si>
  <si>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</si>
  <si>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</si>
  <si>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</si>
  <si>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</si>
  <si>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</si>
  <si>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</si>
  <si>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</si>
  <si>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</si>
  <si>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</si>
  <si>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</si>
  <si>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</si>
  <si>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</si>
  <si>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</si>
  <si>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</si>
  <si>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</si>
  <si>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</si>
  <si>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</si>
  <si>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</si>
  <si>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</si>
  <si>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</si>
  <si>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</si>
  <si>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</si>
  <si>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</si>
  <si>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</si>
  <si>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</si>
  <si>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</si>
  <si>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</si>
  <si>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</si>
  <si>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</si>
  <si>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</si>
  <si>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</si>
  <si>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</si>
  <si>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</si>
  <si>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</si>
  <si>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</si>
  <si>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28/04/2026</t>
  </si>
  <si>
    <t>29/04/2026</t>
  </si>
  <si>
    <t>30/04/2026</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</si>
  <si>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</si>
  <si>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</si>
  <si>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</si>
  <si>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</si>
  <si>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</si>
  <si>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</si>
  <si>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</si>
  <si>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</si>
  <si>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</si>
  <si>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</si>
  <si>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</si>
  <si>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</si>
  <si>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</si>
  <si>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</si>
  <si>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</si>
  <si>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</si>
  <si>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</si>
  <si>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</si>
  <si>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</si>
  <si>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</si>
  <si>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</si>
  <si>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</si>
  <si>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</si>
  <si>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</si>
  <si>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25/05/2026</t>
  </si>
  <si>
    <t>26/05/2026</t>
  </si>
  <si>
    <t>27/05/2026</t>
  </si>
  <si>
    <t>28/05/2026</t>
  </si>
  <si>
    <t>29/05/2026</t>
  </si>
  <si>
    <t>30/05/2026</t>
  </si>
  <si>
    <t>31/05/2026</t>
  </si>
  <si>
    <t>01/06/2026</t>
  </si>
  <si>
    <t>02/06/2026</t>
  </si>
  <si>
    <t>03/06/2026</t>
  </si>
  <si>
    <t>04/06/2026</t>
  </si>
  <si>
    <t>05/06/2026</t>
  </si>
  <si>
    <t>06/06/2026</t>
  </si>
  <si>
    <t>07/06/2026</t>
  </si>
  <si>
    <t>08/06/2026</t>
  </si>
  <si>
    <t>09/06/2026</t>
  </si>
  <si>
    <t>10/06/2026</t>
  </si>
  <si>
    <t>11/06/2026</t>
  </si>
  <si>
    <t>12/06/2026</t>
  </si>
  <si>
    <t>13/06/2026</t>
  </si>
  <si>
    <t>14/06/2026</t>
  </si>
  <si>
    <t>15/06/2026</t>
  </si>
  <si>
    <t>16/06/2026</t>
  </si>
  <si>
    <t>17/06/2026</t>
  </si>
  <si>
    <t>18/06/2026</t>
  </si>
  <si>
    <t>19/06/2026</t>
  </si>
  <si>
    <t>20/06/2026</t>
  </si>
  <si>
    <t>21/06/2026</t>
  </si>
  <si>
    <t>22/06/2026</t>
  </si>
  <si>
    <t>23/06/2026</t>
  </si>
  <si>
    <t>24/06/2026</t>
  </si>
  <si>
    <t>25/06/2026</t>
  </si>
  <si>
    <t>26/06/2026</t>
  </si>
  <si>
    <t>27/06/2026</t>
  </si>
  <si>
    <t>28/06/2026</t>
  </si>
  <si>
    <t>29/06/2026</t>
  </si>
  <si>
    <t>30/06/2026</t>
  </si>
  <si>
    <t>01/07/2026</t>
  </si>
  <si>
    <t>02/07/2026</t>
  </si>
  <si>
    <t>03/07/2026</t>
  </si>
  <si>
    <t>04/07/2026</t>
  </si>
  <si>
    <t>05/07/2026</t>
  </si>
  <si>
    <t>06/07/2026</t>
  </si>
  <si>
    <t>07/07/2026</t>
  </si>
  <si>
    <t>08/07/2026</t>
  </si>
  <si>
    <t>09/07/2026</t>
  </si>
  <si>
    <t>10/07/2026</t>
  </si>
  <si>
    <t>11/07/2026</t>
  </si>
  <si>
    <t>12/07/2026</t>
  </si>
  <si>
    <t>ANO</t>
  </si>
  <si>
    <t>MÊS</t>
  </si>
  <si>
    <t>REALIZADO</t>
  </si>
  <si>
    <t>MÉDIA_DIA</t>
  </si>
  <si>
    <t>PREVISÃO</t>
  </si>
  <si>
    <t>PREVISÃO %CRESC</t>
  </si>
  <si>
    <t>META BRONZE</t>
  </si>
  <si>
    <t>META PRATA</t>
  </si>
  <si>
    <t>META OURO</t>
  </si>
  <si>
    <t>MÉDIA_DIA_BRONZE</t>
  </si>
  <si>
    <t>MÉDIA_DIA_PRATA</t>
  </si>
  <si>
    <t>MÉDIA_DIA_OURO</t>
  </si>
  <si>
    <t>JULHO DE 2025</t>
  </si>
  <si>
    <t>mes_ano</t>
  </si>
  <si>
    <t>JULHO</t>
  </si>
  <si>
    <t>relatorio</t>
  </si>
  <si>
    <t>Atualização Comercial – OUTUBRO 2025
🔍 RESUMO
✔️ Realizado: R$ 10.476,60
📅 Média/dia: R$ 10.476,60
🎫 Ticket médio: R$ 32,54
👥 Atend./dia: 325
🎯 METAS (vs. OURO)
Desempenho: 3.04%
Faltam: R$ 333.957,20
(Bronze: R$ 320.473,19 | Prata: R$ 327.960,88 | Ouro: R$ 344.433,80)
📉 COMPARAÇÕES
◀️ Média necessária p/ Ouro: R$ 11.515,77
(vs. atual: R$ 10.476,60)
◀️ Outubro/2024: R$ 299.507,65
📈 Variação anual (prev.): +8.44%
💡 INSIGHT ESTRATÉGICO
O primeiro dia de Outubro nos posiciona com uma projeção de crescimento robusta (+8.44% vs. ano anterior), o que é um excelente ponto de partida. No entanto, para mirarmos a Meta Ouro, o tabuleiro já exige um movimento estratégico. Nossa média diária atual está R$ 1.039,17 abaixo do ritmo necessário. Com 325 atendimentos/dia, temos um fluxo consistente. Minha recomendação é que, nos próximos dias, acionemos uma "turbinada" no Ticket Médio. Podemos explorar combos inteligentes ou sugestões de produtos complementares no checkout. A meta é garantir que cada cliente não apenas compre, mas leve mais valor e, consequentemente, nos impulsione acima da média diária de R$ 11.515,77 desde o início do mês.
📆 Projeção de fechamento: R$ 324.774,60
🗓️ Dias restantes: 29</t>
  </si>
  <si>
    <t>Atualização Comercial – OUTUBRO 2025
🔍 RESUMO
✔️ Realizado: R$ 19.515,43
📅 Média/dia: R$ 9.757,72
🎫 Ticket médio: R$ 32,36
👥 Atend./dia: 306
🎯 METAS (vs. OURO)
Desempenho: 5.67%
Faltam: R$ 324.918,37
(Bronze: R$ 320.473,19 | Prata: R$ 327.960,88 | Ouro: R$ 344.433,80)
📉 COMPARAÇÕES
◀️ Média necessária p/ Ouro: R$ 11.604,23
(vs. atual: R$ 9.757,72)
◀️ Outubro/2024: R$ 299.507,65
📈 Variação anual (prev.): +1.00%
💡 INSIGHT ESTRATÉGICO
Os primeiros dias de Outubro nos mostram que precisamos ajustar a rota. A média diária atual (R$ 9.757,72) nos deixa com uma projeção de fechamento que sequer alcança a Meta Bronze. Com 28 dias restantes, é um chamado à ação: nossa média para Ouro (R$ 11.604,23) exige um incremento imediato de R$ 1.846,51/dia. A chave está em nosso ticket médio (R$ 32,36) vs. alto volume de atendimentos (306/dia). Sugiro foco intensivo no time de vendas em upselling/cross-selling e kits promocionais para elevar o valor da cesta. Não podemos deixar o ritmo de largada comprometer o resultado final.
📆 Projeção de fechamento: R$ 302.489,16
🗓️ Dias restantes: 28</t>
  </si>
  <si>
    <t>Atualização Comercial – OUTUBRO 2025
🔍 *RESUMO*
✔️ Realizado: R$ 32.446,50
📅 Média/dia: R$ 10.815,50
🎫 Ticket médio: R$ 34,19
👥 Atend./dia: 321
🎯 *METAS (vs. OURO)*
Desempenho: 9.42%
Faltam: R$ 311.987,30
(Bronze: R$ 320.473,19 | Prata: R$ 327.960,88 | Ouro: R$ 344.433,80)
📉 *COMPARAÇÕES*
◀️ Média necessária p/ Ouro: R$ 11.555,09
(vs. atual: R$ 10.815,50)
◀️ Outubro/2024: R$ 299.507,65
📈 Variação anual (prev.): +11.94%
💡 *INSIGHT ESTRATÉGICO*
Nosso início de mês mostra um fôlego considerável, com uma projeção que nos coloca firmemente acima da Meta Prata e um crescimento robusto de quase 12% sobre o ano anterior. Isso é excelente! O desafio agora é transformar esse bom ritmo em uma corrida para o Ouro. A diferença diária para alcançarmos o pódio é pequena, apenas R$ 739,59/dia. Com o Ticket Médio já apresentando uma melhora, nosso próximo movimento deve ser focado em *otimizar a jornada de cada cliente*. Sugiro que foquemos em dois pilares:
1.  **Engajamento proativo:** Treinamento relâmpago para a equipe identificar necessidades *não expressas* dos clientes, transformando atendimentos em vendas mais completas e qualificadas.
2.  **Cesta de valor direcionada:** Em vez de ofertas genéricas, vamos impulsionar produtos de maior margem ou com apelo sazonal, garantindo que o acréscimo ao ticket médio seja mais estratégico. O objetivo é que cada uma das 321 interações diárias seja uma oportunidade maximizada, levando-nos a cruzar a linha da Meta Ouro com distinção.
📆 Projeção de fechamento: R$ 335.280,50
🗓️ Dias restantes: 27</t>
  </si>
  <si>
    <t>Atualização Comercial – OUTUBRO 2025
🔍 *RESUMO*
✔️ Realizado: R$ 46.502,15
📅 Média/dia: R$ 11.625,54
🎫 Ticket médio: R$ 33,55
👥 Atend./dia: 351
🎯 *METAS (vs. OURO)*
Desempenho: 13.50%
Faltam: R$ 297.931,65
(Bronze: R$ 320.473,19 | Prata: R$ 327.960,88 | Ouro: R$ 344.433,80)
📉 *COMPARAÇÕES*
◀️ Média necessária p/ Ouro: R$ 11.458,91
(vs. atual: R$ 11.625,54)
◀️ Outubro/2024: R$ 299.507,65
📈 Variação anual (prev.): +20.33%
💡 *INSIGHT ESTRATÉGICO*
Excelente largada para Outubro! Nosso ritmo inicial está forte, com a média diária já superando o necessário para bater a Meta Ouro. A projeção, bem acima das metas e com 20% de crescimento anual, mostra que temos um vento favorável. Agora, a estratégia é transformar essa "luz verde" em uma aceleração consistente:
1.  **Reforçar o Ticket Médio:** Com 351 atendimentos diários, há grande espaço para campanhas de upsell/cross-sell bem segmentadas, elevando o valor por cliente.
2.  **Sustentar o Fluxo:** Utilizar os próximos dias para ativar micro-promoções ou comunicações direcionadas que mantenham nosso volume de atendimentos crescente.
Vamos construir sobre este momentum e focar em cada oportunidade para quebrar os próprios recordes!
📆 Projeção de fechamento: R$ 360.391,66
🗓️ Dias restantes: 26</t>
  </si>
  <si>
    <t>Atualização Comercial – OUTUBRO 2025
🔍 *RESUMO*
✔️ Realizado: R$ 56.994,21
📅 Média/dia: R$ 11.398,84
🎫 Ticket médio: R$ 34,33
👥 Atend./dia: 336
🎯 *METAS (vs. OURO)*
Desempenho: 16.55%
Faltam: R$ 287.439,59
(Bronze: R$ 320.473,19 | Prata: R$ 327.960,88 | Ouro: R$ 344.433,80)
📉 *COMPARAÇÕES*
◀️ Média necessária p/ Ouro: R$ 11.497,58
(vs. atual: R$ 11.398,84)
◀️ Outubro/2024: R$ 299.507,65
📈 Variação anual (prev.): +17.98%
💡 *INSIGHT ESTRATÉGICO*
Estamos com a vela cheia de vento! A projeção nos coloca navegando confortavelmente acima da Meta Ouro (R$ 353.364,10) e rumo a um crescimento impressionante de quase 18% em relação ao ano anterior. É um excelente começo de mês, demonstrando a força da nossa operação.
Para garantir que essa trajetória promissora se concretize com folga e sem sobressaltos, identificamos uma micro-oportunidade de ajuste. Nosso ritmo diário atual está apenas R$ 98 abaixo do necessário para solidificar o atingimento da Meta Ouro, considerando os 25 dias restantes. Isso exige um ajuste de precisão, não uma mudança drástica.
Minhas recomendações são focadas em otimização de valor:
1.  **Estratégia "Valor Agregado":** Com 336 atendimentos/dia, elevar o ticket médio em apenas R$0,50 a R$1,00, através de sugestões de produtos complementares ou ofertas de valor, facilmente cobrirá essa pequena diferença e nos impulsionará.
2.  **Intensificação da Conversão:** Manter o foco na excelência do atendimento para assegurar que a alta média de atendimentos se converta na máxima valorização de cada cesta de compra.
3.  **Impulso Proativo:** Considerar um mini-incentivo ou campanha de curta duração (próximos 3-5 dias) para o time, visando superar proativamente a média diária necessária para o Ouro. Isso criará um importante colchão para o restante do mês.
O cenário é otimista, com foco em maximizar cada interação para um Outubro de resultados históricos!
📆 Projeção de fechamento: R$ 353.364,10
🗓️ Dias restantes: 25</t>
  </si>
  <si>
    <t>Atualização Comercial – OUTUBRO 2025
🔍 *RESUMO*
✔️ Realizado: R$ 66.756,28
📅 Média/dia: R$ 11.126,05
🎫 Ticket médio: R$ 33,89
👥 Atend./dia: 333
🎯 *METAS (vs. OURO)*
Desempenho: 19.38%
Faltam: R$ 277.677,52
(Bronze: R$ 320.473,19 | Prata: R$ 327.960,88 | Ouro: R$ 344.433,80)
📉 *COMPARAÇÕES*
◀️ Média necessária p/ Ouro: R$ 11.569,90
(vs. atual: R$ 11.126,05)
◀️ Outubro/2024: R$ 299.507,65
📈 Variação anual (prev.): +15.16%
💡 *INSIGHT ESTRATÉGICO*
Temos uma excelente projeção de fechamento que nos coloca ligeiramente acima da Meta Ouro, além de um crescimento anual robusto de +15%. Isso mostra um potencial incrível! No entanto, para transformar essa projeção em realidade sólida, precisamos de um "ajuste fino". Nossa média diária atual está R$ 443 abaixo do necessário para garantir o Ouro nos dias restantes. Com 333 atendimentos diários e um ticket médio de R$ 33,89, a alavancagem não virá de mais volume, mas sim de otimizar cada interação. Sugiro focar em uma estratégia de "Engenharia do Ticket": Treinamento intensivo para a equipe sobre upsell inteligente e combos de valor que complementem a compra principal, visando um aumento de apenas ~R$ 0,85 no ticket médio. Essa pequena elevação por atendimento nos próximos 24 dias garantirá que não apenas atinjamos o Ouro, mas o superemos com margem, transformando potencial em performance concreta.
📆 Projeção de fechamento: R$ 344.907,45
🗓️ Dias restantes: 24</t>
  </si>
  <si>
    <t>Atualização Comercial – OUTUBRO 2025
🔍 *RESUMO*
✔️ Realizado: R$ 74.148,30
📅 Média/dia: R$ 10.592,61
🎫 Ticket médio: R$ 33,55
👥 Atend./dia: 320
🎯 *METAS (vs. OURO)*
Desempenho: 21.53%
Faltam: R$ 270.285,50
(Bronze: R$ 320.473,19 | Prata: R$ 327.960,88 | Ouro: R$ 344.433,80)
📉 *COMPARAÇÕES*
◀️ Média necessária p/ Ouro: R$ 11.751,54
(vs. atual: R$ 10.592,61)
◀️ Outubro/2024: R$ 299.507,65
📈 Variação anual (prev.): +9.64%
💡 *INSIGHT ESTRATÉGICO*
Análise da primeira semana: Estamos com uma base sólida, projetando um crescimento de quase 10% YoY e superando a Meta Prata. Contudo, para o Ouro, precisamos um *boost* diário de R$ 1.158,93. Nosso alto volume de 320 atendimentos/dia, combinado a um ticket médio de R$ 33,55, revela uma oportunidade clara: não precisamos de mais clientes, mas sim de maior valor por cliente. Acelerar para o Ouro exige foco em *qualificar* cada interação. Proponho uma campanha interna de 'Desafio do Combo Inteligente' ou 'Upgrade no Carrinho', incentivando a equipe a empacotar ofertas ou sugerir complementos estratégicos que elevem o ticket médio. O ouro está no detalhe de cada venda!
📆 Projeção de fechamento: R$ 328.371,04
🗓️ Dias restantes: 23</t>
  </si>
  <si>
    <t>Atualização Comercial – OUTUBRO 2025
🔍 *RESUMO*
✔️ Realizado: R$ 84.142,21
📅 Média/dia: R$ 10.517,78
🎫 Ticket médio: R$ 33,70
👥 Atend./dia: 316
🎯 *METAS (vs. OURO)*
Desempenho: 24.43%
Faltam: R$ 260.291,59
(Bronze: R$ 320.473,19 | Prata: R$ 327.960,88 | Ouro: R$ 344.433,80)
📉 *COMPARAÇÕES*
◀️ Média necessária p/ Ouro: R$ 11.831,44
(vs. atual: R$ 10.517,78)
◀️ Outubro/2024: R$ 299.507,65
📈 Variação anual (prev.): +8.86%
💡 *INSIGHT ESTRATÉGICO*
Nosso "mapa de tesouro" aponta para um crescimento anual promissor (+8.86%), um ótimo sinal da nossa força no mercado. No entanto, para escalarmos o "Pico Ouro", precisamos de um esforço concentrado nos próximos 22 dias. A diferença entre nossa média diária atual e a necessária para o Ouro é de R$ 1.313,66. Não é uma montanha intransponível! Recomendo uma campanha intensiva de "combos inteligentes" e "sugestão do especialista" no ponto de venda, visando elevar o ticket médio em no mínimo R$ 4 por cliente. Isso, combinado com a maximização de cada atendimento, transformará nossa boa projeção em um fechamento de mês espetacular. Vamos guiar nossas equipes a visualizar e conquistar esse valor extra em cada transação.
📆 Projeção de fechamento: R$ 326.051,06
🗓️ Dias restantes: 22</t>
  </si>
  <si>
    <t>Atualização Comercial – OUTUBRO 2025
🔍 *RESUMO*
✔️ Realizado: R$ 92.063,91
📅 Média/dia: R$ 10.229,32
🎫 Ticket médio: R$ 33,76
👥 Atend./dia: 307
🎯 *METAS (vs. OURO)*
Desempenho: 26.73%
Faltam: R$ 252.369,89
(Bronze: R$ 320.473,19 | Prata: R$ 327.960,88 | Ouro: R$ 344.433,80)
📉 *COMPARAÇÕES*
◀️ Média necessária p/ Ouro: R$ 12.017,61
(vs. atual: R$ 10.229,32)
◀️ Outubro/2024: R$ 299.507,65
📈 Variação anual (prev.): +5.88%
💡 *INSIGHT ESTRATÉGICO*
A projeção de fechamento em R$ 317.109,02 acende um alerta crucial: apesar de indicarmos um crescimento de 5,88% sobre o ano anterior, este ritmo nos posiciona *abaixo de todas as metas*, inclusive da Meta Bronze. Não estamos apenas distantes do Ouro; o cenário atual nos impede de alcançar até o patamar inicial. A diferença para a média diária necessária ao Ouro (R$ 12.017,61 vs. R$ 10.229,32 atual) é uma brecha de quase R$1.800/dia que precisamos fechar urgentemente.
Precisamos *recalibrar a estratégia com urgência*. Minhas sugestões para esta semana são:
1.  **Foco em Mix e Margem:** Implementar um "desafio de venda casada" para a equipe, focando em produtos complementares de maior valor agregado que elevem o ticket médio acima de R$35.
2.  **Acelerar a Conversão:** Realizar sessões rápidas de treinamento focadas em técnicas de fechamento para converter mais atendimentos em vendas efetivas e aumentar o número de itens por compra, especialmente nos horários de maior fluxo.
O objetivo é claro: reverter a projeção e garantir que superemos, no mínimo, a Meta Bronze, exigindo um esforço concentrado e estratégico de toda a equipe a partir de agora.
📆 Projeção de fechamento: R$ 317.109,02
🗓️ Dias restantes: 21</t>
  </si>
  <si>
    <t>Atualização Comercial – OUTUBRO 2025
🔍 *RESUMO*
✔️ Realizado: R$ 102.247,54
📅 Média/dia: R$ 10.224,75
🎫 Ticket médio: R$ 33,61
👥 Atend./dia: 309
🎯 *METAS (vs. OURO)*
Desempenho: 29.69%
Faltam: R$ 242.186,26
(Bronze: R$ 320.473,19 | Prata: R$ 327.960,88 | Ouro: R$ 344.433,80)
📉 *COMPARAÇÕES*
◀️ Média necessária p/ Ouro: R$ 12.109,31
(vs. atual: R$ 10.224,75)
◀️ Outubro/2024: R$ 299.507,65
📈 Variação anual (prev.): +5.83%
💡 *INSIGHT ESTRATÉGICO*
Apesar de uma projeção de crescimento anual positiva (+5.83%), o nosso radar indica que estamos atualmente fora da rota para todas as metas de Outubro, com a projeção de fechamento *abaixo* da Meta Bronze. O desafio imediato é significativo: precisamos elevar a média diária em quase R$ 1.900 para buscar a Meta Ouro, ou cerca de R$ 700 para sequer atingir a Bronze.
É hora de acionar um "turbo tático" nos próximos 20 dias. Sugiro um foco cirúrgico em:
1.  *Alavancar o Valor por Atendimento:* Lançar um "desafio do item complementar" para a equipe de vendas. Incentivar proativamente a inclusão de um segundo ou terceiro item que agregue valor à compra principal, mesmo que de menor ticket. Uma pequena elevação no ticket médio em cada venda faz uma grande diferença no volume.
2.  *Magnetismo Local:* Promover micro-ações de engajamento direto com a clientela local e passante. Um foco em visual merchandising de "ofertas relâmpago" no ponto de venda para produtos chave ou kits estratégicos que despertem o interesse imediato e convidem à entrada/compra.
Essa abordagem nos permitirá uma correção de curso rápida, mirando a Meta Bronze como o primeiro patamar essencial a ser reconquistado, antes de perseguirmos as metas mais ambiciosas.
📆 Projeção de fechamento: R$ 316.967,37
🗓️ Dias restantes: 20</t>
  </si>
  <si>
    <t>Atualização Comercial – OUTUBRO 2025
🔍 *RESUMO*
✔️ Realizado: R$ 116.283,23
📅 Média/dia: R$ 10.571,20
🎫 Ticket médio: R$ 33,96
👥 Atend./dia: 315
🎯 *METAS (vs. OURO)*
Desempenho: 33.76%
Faltam: R$ 228.150,57
(Bronze: R$ 320.473,19 | Prata: R$ 327.960,88 | Ouro: R$ 344.433,80)
📉 *COMPARAÇÕES*
◀️ Média necessária p/ Ouro: R$ 12.007,92
(vs. atual: R$ 10.571,20)
◀️ Outubro/2024: R$ 299.507,65
📈 Variação anual (prev.): +9.42%
💡 *INSIGHT ESTRATÉGICO*
Estamos construindo um mês com projeção de crescimento robusto de +9.42% A.A., um excelente indicativo da nossa saúde comercial. Embora o ritmo atual seja consistente, para não deixar a Meta Ouro escapar, precisamos de um *ajuste fino estratégico*. Nossa média diária está R$ 1.436,72 abaixo do necessário para o Ouro. Com um volume saudável de 315 atendimentos diários e um ticket médio estável, o desafio não é atrair clientes, mas *potencializar cada interação*. Sugiro explorarmos táticas de *aumento de itens por cesta* (cross-selling inteligente em categorias complementares) e *upselling direcionado* em produtos de maior valor agregado. Uma iniciativa rápida de 3-5 dias, como um "Desafio do Ticket Médio" para a equipe, pode ser o catalisador para nos impulsionar acima da Meta Prata e mirar firmemente no Ouro.
📆 Projeção de fechamento: R$ 327.707,28
🗓️ Dias restantes: 19</t>
  </si>
  <si>
    <t>Atualização Comercial – OUTUBRO 2025
🔍 *RESUMO*
✔️ Realizado: R$ 126.849,19
📅 Média/dia: R$ 10.570,77
🎫 Ticket médio: R$ 34,39
👥 Atend./dia: 311
🎯 *METAS (vs. OURO)*
Desempenho: 36.83%
Faltam: R$ 217.584,61
(Bronze: R$ 320.473,19 | Prata: R$ 327.960,88 | Ouro: R$ 344.433,80)
📉 *COMPARAÇÕES*
◀️ Média necessária p/ Ouro: R$ 12.088,03
(vs. atual: R$ 10.570,77)
◀️ Outubro/2024: R$ 299.507,65
📈 Variação anual (prev.): +9.41%
💡 *INSIGHT ESTRATÉGICO*
Estamos numa fase crítica de Outubro. A projeção de fechamento em R$ 327.693,74 nos coloca a um passo ínfimo da Meta Prata (R$ 327.960,88) e com um sólido crescimento de +9.41% frente ao ano anterior. Esse é o momento de capitalizar sobre o bom momento! Para atingir o Ouro, que exige uma elevação de R$ 1.517 na média diária atual, precisamos de um 'turbo' estratégico. Minha recomendação é focar em:
1.  **Engajamento de Alto Valor:** Criar ofertas de 'upsell' ou 'cross-sell' irresistíveis no ponto de venda. Ex: 'Adicione este item e ganhe X% de desconto', visando impulsionar o Ticket Médio de R$ 34,39.
2.  **Fluxo Inteligente:** Desenvolver uma campanha de micro-segmentação para clientes que fizeram compras de alto valor no passado ou atrair novos clientes com promoções de entrada que os incentivem à primeira compra e a elevar o volume de atendimentos (311/dia).
O palco está montado para um grande fechamento; precisamos de ações cirúrgicas agora para garantir o pódio dourado!
📆 Projeção de fechamento: R$ 327.693,74
🗓️ Dias restantes: 18</t>
  </si>
  <si>
    <t>Atualização Comercial – OUTUBRO 2025
🔍 *RESUMO*
✔️ Realizado: R$ 134.390,92
📅 Média/dia: R$ 10.337,76
🎫 Ticket médio: R$ 34,12
👥 Atend./dia: 307
🎯 *METAS (vs. OURO)*
Desempenho: 39.02%
Faltam: R$ 210.042,88
(Bronze: R$ 320.473,19 | Prata: R$ 327.960,88 | Ouro: R$ 344.433,80)
📉 *COMPARAÇÕES*
◀️ Média necessária p/ Ouro: R$ 12.355,46
(vs. atual: R$ 10.337,76)
◀️ Outubro/2024: R$ 299.507,65
📈 Variação anual (prev.): +7.00%
💡 *INSIGHT ESTRATÉGICO*
Nossa "aeronave" de vendas está com uma projeção de +7% sobre Outubro/24, o que é um bom sinal de sustentabilidade. No entanto, para atingirmos a altitude da Meta Ouro, precisamos ligar o pós-combustor! A média diária atual (R$ 10.337,76) está R$ 2.017,70 abaixo do necessário.
Com 307 atendimentos diários, o motor de tráfego está aquecido. O desafio agora é otimizar cada "voo" de cliente.
**Recomendação Imediata:**
1.  **Turbinar o Ticket Médio:** Lançar uma blitz de 3 dias de "Kits Inteligentes" ou "Upgrade Premiado", focando em pacotes de produtos complementares com valor agregado percebido, incentivando o cliente a levar um pouco mais. Ex: "Leve o essencial e complete com um acessório X com Y% de desconto".
2.  **Calibrar a Equipe de Vendas:** Realizar um micro-treinamento focado em *cross-selling* e *upselling* nos próximos dois dias. Reforçar scripts e gatilhos para que cada vendedor se sinta um consultor, apresentando soluções completas e não apenas produtos isolados. Isso pode ser impulsionado por um pequeno incentivo/bônus por incremento no ticket.
A meta é fazer com que cada um dos 307 clientes diários contribua mais, elevando o valor médio da cesta. Isso nos dará o impulso necessário para não apenas garantir a Meta Bronze (que a projeção atual mal alcança), mas para mirar com força total na Prata e, quem sabe, no Ouro.
📆 Projeção de fechamento: R$ 320.470,66
🗓️ Dias restantes: 17</t>
  </si>
  <si>
    <t>Atualização Comercial – OUTUBRO 2025
🔍 *RESUMO*
✔️ Realizado: R$ 140.631,09
📅 Média/dia: R$ 10.045,08
🎫 Ticket médio: R$ 33,90
👥 Atend./dia: 300
🎯 *METAS (vs. OURO)*
Desempenho: 40.83%
Faltam: R$ 203.802,71
(Bronze: R$ 320.473,19 | Prata: R$ 327.960,88 | Ouro: R$ 344.433,80)
📉 *COMPARAÇÕES*
◀️ Média necessária p/ Ouro: R$ 12.737,67
(vs. atual: R$ 10.045,08)
◀️ Outubro/2024: R$ 299.507,65
📈 Variação anual (prev.): +3.97%
💡 *INSIGHT ESTRATÉGICO*
A projeção de fechamento em R$ 311.397,41 nos coloca *abaixo da Meta Bronze*, indicando que a inércia não será suficiente. Para mirarmos o Ouro (R$ 344k), precisamos de uma verdadeira *ignição de foguete* nos próximos 16 dias. A meta diária de R$ 12.737,67 exige um salto de 27% em relação ao nosso ritmo atual.
Não podemos depender apenas do volume. A chave é **potencializar o Ticket Médio**. Proponho uma ofensiva focada:
1.  **"Upgrade Express":** Treinamento intensivo para a equipe focar em combos e *cross-selling* de alto valor agregado (ex: 'Compre X, adicione Y por +Z').
2.  **Meta de TM Diária:** Estabelecer uma meta agressiva de Ticket Médio por vendedor (ex: R$ 40,00 ou R$ 42,00), com incentivos claros e diários.
3.  **Oferta de Impulso:** Lançar uma 'promoção surpresa' de 48h com foco em categorias de maior margem ou ticket elevado.
É hora de acionar os turbos e transformar cada atendimento em uma oportunidade de ouro.
📆 Projeção de fechamento: R$ 311.397,41
🗓️ Dias restantes: 16</t>
  </si>
  <si>
    <t>Atualização Comercial – OUTUBRO 2025
🔍 *RESUMO*
✔️ Realizado: R$ 149.791,98
📅 Média/dia: R$ 9.986,13
🎫 Ticket médio: R$ 33,69
👥 Atend./dia: 300
🎯 *METAS (vs. OURO)*
Desempenho: 43.49%
Faltam: R$ 194.641,82
(Bronze: R$ 320.473,19 | Prata: R$ 327.960,88 | Ouro: R$ 344.433,80)
📉 *COMPARAÇÕES*
◀️ Média necessária p/ Ouro: R$ 12.976,12
(vs. atual: R$ 9.986,13)
◀️ Outubro/2024: R$ 299.507,65
📈 Variação anual (prev.): +3.36%
💡 *INSIGHT ESTRATÉGICO*
Diretoria,
Estamos exatamente na metade do mês e a projeção atual aponta um fechamento *abaixo de todas as metas*, inclusive a Bronze. O ritmo diário de vendas (R$ 9.986,13) precisa acelerar em quase 30% para alcançarmos a Meta Ouro (R$ 12.976,12/dia). É momento de focar no que realmente podemos mover nos próximos 15 dias.
A chave pode estar no *Ticket Médio*:
1.  **Ajuste no Ticket Médio:** Com 300 atendimentos/dia, um aumento de *apenas R$ 10 no ticket médio*, de R$ 33,69 para R$ 43,69, nos levaria a **R$ 13.107/dia**, superando a média necessária para a Meta Ouro! Sugiro capacitar intensivamente a equipe para up-selling e cross-selling, e focar em combos promocionais e ofertas "leve mais por menos" que incentivem o aumento do valor da compra.
2.  **Campanha de Impacto Rápido:** Lançar uma ação promocional de curto prazo (ex: 72h) com foco em itens de maior valor agregado ou com alta margem, para impulsionar o volume de receita rapidamente e reverter a curva de vendas.
3.  **Engajamento da Equipe:** Criar um desafio de vendas interno focado no ticket médio e na média diária nos próximos 15 dias, com reconhecimento e bônus para a equipe que mais contribuir.
Precisamos de uma intervenção estratégica focada no Ticket Médio para virar o jogo e buscar a Meta Ouro!
📆 Projeção de fechamento: R$ 309.570,09
🗓️ Dias restantes: 15</t>
  </si>
  <si>
    <t>Atualização Comercial – OUTUBRO 2025
🔍 *RESUMO*
✔️ Realizado: R$ 157.549,70
📅 Média/dia: R$ 9.846,86
🎫 Ticket médio: R$ 33,56
👥 Atend./dia: 297
🎯 *METAS (vs. OURO)*
Desempenho: 45.74%
Faltam: R$ 186.884,10
(Bronze: R$ 320.473,19 | Prata: R$ 327.960,88 | Ouro: R$ 344.433,80)
📉 *COMPARAÇÕES*
◀️ Média necessária p/ Ouro: R$ 13.348,86
(vs. atual: R$ 9.846,86)
◀️ Outubro/2024: R$ 299.507,65
📈 Variação anual (prev.): +1.92%
💡 *INSIGHT ESTRATÉGICO*
Estamos em um ponto crucial do mês. Nossa projeção de fechamento (R$ 305.252,54) mostra que, no ritmo atual, não alcançaremos sequer a Meta Bronze, apesar de estarmos ligeiramente acima do ano anterior (+1.92%). O salto para a Meta Ouro exige um aumento diário significativo: de R$ 9.846,86 para R$ 13.348,86 nos próximos 14 dias – um incremento de 35.5% na performance diária.
É como escalar uma montanha e perceber que, para o cume, precisamos acelerar muito o passo. Temos volume de atendimentos (297/dia), mas o Ticket Médio de R$ 33,56 é a nossa alavanca mais imediata. Sugiro um foco tático e intensivo:
1.  **"Desafio do Carrinho Cheio":** Lançar um desafio de meta de itens por venda ou valor de carrinho para a equipe, com premiação para quem elevar o ticket médio acima da média atual. Focar em sugestão de itens complementares e de maior margem no ponto de venda.
2.  **"Pacotes Aceleradores":** Criar e comunicar rapidamente 2-3 ofertas de pacotes de produtos (combos) que incentivem um gasto médio maior e de fácil decisão, válidos exclusivamente para os próximos 7-10 dias.
3.  **Minicampanha de "Última Chamada":** Usar a base de clientes recorrentes ou inativos há 60-90 dias para uma campanha de "últimas oportunidades do mês", com condições diferenciadas e senso de urgência, segmentando os de maior potencial de retorno.
Precisamos mudar a inclinação da curva de vendas nos próximos dias. Cada atendimento é uma oportunidade de agregar mais valor e fechar a lacuna.
📆 Projeção de fechamento: R$ 305.252,54
🗓️ Dias restantes: 14</t>
  </si>
  <si>
    <t>Atualização Comercial – OUTUBRO 2025
🔍 *RESUMO*
✔️ Realizado: R$ 165.914,93
📅 Média/dia: R$ 9.759,70
🎫 Ticket médio: R$ 33,48
👥 Atend./dia: 295
🎯 *METAS (vs. OURO)*
Desempenho: 48.17%
Faltam: R$ 178.518,87
(Bronze: R$ 320.473,19 | Prata: R$ 327.960,88 | Ouro: R$ 344.433,80)
📉 *COMPARAÇÕES*
◀️ Média necessária p/ Ouro: R$ 13.732,22
(vs. atual: R$ 9.759,70)
◀️ Outubro/2024: R$ 299.507,65
📈 Variação anual (prev.): +1.02%
💡 *INSIGHT ESTRATÉGICO*
Nossa projeção atual de R$ 302.550,75 é um sinal claro: precisamos de uma virada de jogo estratégica nos próximos 13 dias. Estamos caminhando para fechar abaixo da Meta Bronze e o desafio para o Ouro é significativo, exigindo que a média diária suba quase 40% de hoje até o final do mês.
Considerando nosso robusto volume de 295 atendimentos diários, o campo de batalha não é (apenas) atrair mais gente, mas sim catalisar o valor em cada interação existente. Temos a audiência, precisamos otimizar a "colheita".
Minhas recomendações para acionar o "modo turbinado":
1.  **Programa "Valor por Cliente":** Implementar um micro-treinamento diário de 10 minutos para a equipe, focando em duas técnicas de upselling/cross-selling para aplicar em cada atendimento. O objetivo é transformar R$33,48 em R$40+.
2.  **"Combos de Saída" Estratégicos:** Criar 2-3 pacotes de produtos complementares com um apelo irresistível, posicionados estrategicamente no caixa ou na saída da loja. A simplicidade na escolha incentiva o aumento do ticket médio sem esforço extra do cliente.
3.  **Desafio Interno "Impulso Ouro":** Lançar um incentivo de curto prazo para a equipe que gerar o maior aumento percentual no ticket médio, atrelado a metas diárias e visibilidade do desempenho. Isso cria um senso de urgência e competição saudável.
📆 Projeção de fechamento: R$ 302.550,75
🗓️ Dias restantes: 13</t>
  </si>
  <si>
    <t>Atualização Comercial – OUTUBRO 2025
🔍 *RESUMO*
✔️ Realizado: R$ 180.629,24
📅 Média/dia: R$ 10.034,96
🎫 Ticket médio: R$ 33,81
👥 Atend./dia: 300
🎯 *METAS (vs. OURO)*
Desempenho: 52.44%
Faltam: R$ 163.804,56
(Bronze: R$ 320.473,19 | Prata: R$ 327.960,88 | Ouro: R$ 344.433,80)
📉 *COMPARAÇÕES*
◀️ Média necessária p/ Ouro: R$ 13.650,38
(vs. atual: R$ 10.034,96)
◀️ Outubro/2024: R$ 299.507,65
📈 Variação anual (prev.): +3.87%
💡 *INSIGHT ESTRATÉGICO*
Atingimos a metade do mês, mas a **velocidade atual não nos leva ao Ouro**. Nossa projeção, apesar de ligeiramente acima do ano passado (+3.87%), nos deixará abaixo da *própria Meta Bronze*. Para virarmos o jogo e alcançarmos o Ouro, precisamos elevar a média diária de vendas em 36% (de R$ 10.034,96 para R$ 13.650,38). Com 300 atendimentos diários, o **potencial de aumentar o ticket médio é enorme**.
*Recomendação estratégica:* Foco total nos próximos 12 dias em **"Venda Adicional e Kits Premium"**. Capacitar a equipe para oferecer *combos de produtos* com margem superior ou itens complementares em CADA atendimento. Uma meta interna de +R$10 a +R$15 no ticket médio, combinada com ofertas de "última chance" para produtos-chave, pode injetar o volume necessário para buscarmos a Meta Prata ou até o Ouro. A hora é de **ação cirúrgica no ponto de venda** para converter cada atendimento em uma venda de maior valor.
📆 Projeção de fechamento: R$ 311.083,69
🗓️ Dias restantes: 12</t>
  </si>
  <si>
    <t>Atualização Comercial – OUTUBRO 2025
🔍 *RESUMO*
✔️ Realizado: R$ 190.278,98
📅 Média/dia: R$ 10.014,68
🎫 Ticket médio: R$ 33,86
👥 Atend./dia: 299
🎯 *METAS (vs. OURO)*
Desempenho: 55.24%
Faltam: R$ 154.154,82
(Bronze: R$ 320.473,19 | Prata: R$ 327.960,88 | Ouro: R$ 344.433,80)
📉 *COMPARAÇÕES*
◀️ Média necessária p/ Ouro: R$ 14.014,07
(vs. atual: R$ 10.014,68)
◀️ Outubro/2024: R$ 299.507,65
📈 Variação anual (prev.): +3.66%
💡 *INSIGHT ESTRATÉGICO*
Diretoria, os números de Outubro mostram uma trajetória positiva de crescimento frente ao ano anterior (+3.66%), o que é uma base sólida. Contudo, para atingir qualquer uma das nossas metas, especialmente o Ouro, precisamos engatar uma marcha extra. A diferença de R$ 4.000,00 na média diária necessária (R$ 14k vs. R$ 10k atual) é um sinal claro de que não podemos depender apenas do fluxo de clientes. Com 11 dias restantes, nosso foco deve ser em *intensificar a conversão e o valor de cada cesta de compra*. Proponho um "sprint tático de valor agregado":
1.  **"Upgrade Moment"**: Treinar a equipe para identificar o momento certo de oferecer produtos complementares ou versões premium (Ex: "Já que você leva X, que tal Y para uma experiência completa?").
2.  **Meta de "Cesta de Ouro"**: Criar um desafio interno para que cada loja ou vendedor atinja um ticket médio alvo (e.g., R$ 45) em X vendas diárias, com bônus de performance imediato.
3.  **Visual Merchandising Estratégico**: Reorganizar displays para promover "packs" ou "kits" de produtos que aumentem o valor percebido e facilitam a venda casada.
É hora de maximizar o potencial de cada cliente que entra em nossas lojas.
📆 Projeção de fechamento: R$ 310.455,18
🗓️ Dias restantes: 11</t>
  </si>
  <si>
    <t>Atualização Comercial – OUTUBRO 2025
🔍 *RESUMO*
✔️ Realizado: R$ 197.239,51
📅 Média/dia: R$ 9.861,98
🎫 Ticket médio: R$ 33,64
👥 Atend./dia: 296
🎯 *METAS (vs. OURO)*
Desempenho: 57.26%
Faltam: R$ 147.194,29
(Bronze: R$ 320.473,19 | Prata: R$ 327.960,88 | Ouro: R$ 344.433,80)
📉 *COMPARAÇÕES*
◀️ Média necessária p/ Ouro: R$ 14.719,43
(vs. atual: R$ 9.861,98)
◀️ Outubro/2024: R$ 299.507,65
📈 Variação anual (prev.): +2.07%
💡 *INSIGHT ESTRATÉGICO*
Estamos entrando nos últimos 10 dias com um sinal amarelo ligado. Apesar da projeção de fechamento indicar um modesto crescimento em relação ao ano anterior (+2.07%), ela nos posiciona abaixo de *todas* as metas, inclusive a Bronze. O ritmo diário atual de R$ 9.861,98 não é sustentável para atingir o mínimo esperado; precisamos de, no mínimo, R$ 12.323,37/dia para alcançar a Meta Bronze.
Para virar o jogo neste sprint final, sugiro um **"Ataque Relâmpago"** com foco em:
1.  **Maximização do Ticket Médio:** Com 296 atendimentos diários, há um grande potencial para aumentar o valor de cada transação. Sugiro um desafio interno de *up-sell e cross-sell* com metas claras e bonificações extras para os vendedores nos próximos dias. Foco em complementaridade e produtos de maior valor agregado.
2.  **Ofertas de Curto Prazo e Alto Impacto:** Criar 2-3 campanhas digitais e físicas de "última chamada" (48h-72h de duração) em categorias com alto giro e boa margem, utilizando a comunicação de urgência para estimular a decisão de compra imediata.
3.  **Otimização do Funil de Conversão:** Analisar rapidamente as etapas do funil de vendas para identificar e corrigir possíveis gargalos que estão impedindo o fechamento. Cada atendimento conta, e a conversão deve ser prioridade máxima.
Precisamos de uma virada tática agressiva e focada para reverter essa projeção nos dias decisivos.
📆 Projeção de fechamento: R$ 305.721,24
🗓️ Dias restantes: 10</t>
  </si>
  <si>
    <t>Atualização Comercial – OUTUBRO 2025
🔍 *RESUMO*
✔️ Realizado: R$ 204.618,41
📅 Média/dia: R$ 9.743,73
🎫 Ticket médio: R$ 33,57
👥 Atend./dia: 293
🎯 *METAS (vs. OURO)*
Desempenho: 59.41%
Faltam: R$ 139.815,39
(Bronze: R$ 320.473,19 | Prata: R$ 327.960,88 | Ouro: R$ 344.433,80)
📉 *COMPARAÇÕES*
◀️ Média necessária p/ Ouro: R$ 15.535,04
(vs. atual: R$ 9.743,73)
◀️ Outubro/2024: R$ 299.507,65
📈 Variação anual (prev.): +0.85%
💡 *INSIGHT ESTRATÉGICO*
Os dados de hoje indicam que a reta final de Outubro será uma verdadeira corrida contra o relógio. Nossa projeção nos coloca abaixo da Meta Bronze, e a distância para o Ouro exige um salto diário de performance de quase 60% sobre o ritmo atual. Para reverter este cenário nos próximos 9 dias, precisamos de uma *precisão cirúrgica* nas vendas. Sugiro que ativemos imediatamente uma estratégia de "Valorização do Cesto de Compras": **treinamento intensivo para a equipe focar em combos e kits pré-definidos**, incentivando a adição de itens complementares e de maior valor agregado em cada transação. Paralelamente, podemos explorar a base de clientes mais engajados com uma **ação de telemarketing ou WhatsApp direcionada**, oferecendo condições especiais para compras com ticket médio superior, ou a ativação de um "item âncora" de alta margem. O objetivo é transformar cada atendimento em uma oportunidade maximizada, buscando, no mínimo, consolidar a Meta Bronze e superar significativamente o desempenho do ano anterior.
📆 Projeção de fechamento: R$ 302.055,75
🗓️ Dias restantes: 9</t>
  </si>
  <si>
    <t>Atualização Comercial – OUTUBRO 2025
🔍 *RESUMO*
✔️ Realizado: R$ 211.762,15
📅 Média/dia: R$ 9.625,55
🎫 Ticket médio: R$ 33,44
👥 Atend./dia: 291
🎯 *METAS (vs. OURO)*
Desempenho: 61.48%
Faltam: R$ 132.671,65
(Bronze: R$ 320.473,19 | Prata: R$ 327.960,88 | Ouro: R$ 344.433,80)
📉 *COMPARAÇÕES*
◀️ Média necessária p/ Ouro: R$ 16.583,96
(vs. atual: R$ 9.625,55)
◀️ Outubro/2024: R$ 299.507,65
📈 Variação anual (prev.): -0.37%
💡 *INSIGHT ESTRATÉGICO*
Estamos na "reta final" de Outubro, com apenas 8 dias, e os dados acendem um sinal de alerta: nossa projeção de R$ 298.392,12 nos coloca abaixo da Meta Bronze e do desempenho do ano anterior. O desafio é gigantesco para Meta Ouro, exigindo um salto da média diária de R$ 9.625,55 para R$ 16.583,96. Não podemos apenas manter o ritmo; precisamos de um *sprint de alto impacto* coordenado para os próximos dias. Minhas recomendações para essa virada são:
1.  **Foco no Tíquete Médio Elevado:** Com 291 atendimentos/dia, temos tráfego. O gargalo é o valor por transação. Precisamos de um esforço massivo em *upsell* e *cross-sell*, com incentivos claros para que a equipe adicione um item extra ou de maior valor em cada compra.
2.  **Ofertas "Turbinadas" de Última Hora:** Desenvolver combos ou kits de produtos com valor agregado e alta percepção de benefício para o cliente. Estruturar ofertas que impulsionem o volume de vendas por transação e gerem urgência.
3.  **Reativação Relâmpago:** Ativar nossa base de clientes inativos (ex: sem compra há 30-60 dias) com uma campanha de SMS/WhatsApp altamente segmentada e com ofertas irresistíveis, válidas exclusivamente nos próximos 8 dias.
A meta é reverter a projeção atual e finalizar o mês com uma virada estratégica, garantindo que alcancemos pelo menos a Meta Bronze.
📆 Projeção de fechamento: R$ 298.392,12
🗓️ Dias restantes: 8</t>
  </si>
  <si>
    <t>Atualização Comercial – OUTUBRO 2025
🔍 *RESUMO*
✔️ Realizado: R$ 219.139,69
📅 Média/dia: R$ 9.527,81
🎫 Ticket médio: R$ 33,37
👥 Atend./dia: 288
🎯 *METAS (vs. OURO)*
Desempenho: 63.62%
Faltam: R$ 125.294,11
(Bronze: R$ 320.473,19 | Prata: R$ 327.960,88 | Ouro: R$ 344.433,80)
📉 *COMPARAÇÕES*
◀️ Média necessária p/ Ouro: R$ 17.899,16
(vs. atual: R$ 9.527,81)
◀️ Outubro/2024: R$ 299.507,65
📈 Variação anual (prev.): -1.38%
💡 *INSIGHT ESTRATÉGICO*
Entramos na reta final de Outubro com um *grande desafio à frente*: a média diária para atingir a Meta Ouro é quase o dobro da nossa performance atual, e a projeção de fechamento aponta para um resultado inferior ao do ano passado. Não podemos nos dar ao luxo de apenas "seguir o fluxo". Nos últimos 7 dias, a chave está em uma **guinada estratégica para aumentar drasticamente o valor por transação**. Recomendo focar em: 1) **Programas de Upsell/Cross-sell agressivos** com metas claras para a equipe, transformando cada um dos nossos 288 atendimentos diários em uma oportunidade de venda de maior valor. 2) **Ofertas relâmpago de 'pacotes de valor'** ou combos de produtos complementares com apelo irresistível, visando elevar o ticket médio de R$33,37. 3) **Comunicação segmentada via WhatsApp** para nossa base de clientes com promoções exclusivas e limitadas, incentivando a recompra imediata e com senso de urgência. Precisamos maximizar cada interação e converter volume em valor para reverter a projeção e buscar, no mínimo, a Meta Prata.
📆 Projeção de fechamento: R$ 295.362,19
🗓️ Dias restantes: 7</t>
  </si>
  <si>
    <t>Atualização Comercial – OUTUBRO 2025
🔍 *RESUMO*
✔️ Realizado: R$ 227.308,36
📅 Média/dia: R$ 9.471,18
🎫 Ticket médio: R$ 33,40
👥 Atend./dia: 286
🎯 *METAS (vs. OURO)*
Desempenho: 65.99%
Faltam: R$ 117.125,44
(Bronze: R$ 320.473,19 | Prata: R$ 327.960,88 | Ouro: R$ 344.433,80)
📉 *COMPARAÇÕES*
◀️ Média necessária p/ Ouro: R$ 19.520,91
(vs. atual: R$ 9.471,18)
◀️ Outubro/2024: R$ 299.507,65
📈 Variação anual (prev.): -1.97%
💡 *INSIGHT ESTRATÉGICO*
A reta final de Outubro exige uma guinada estratégica. Com apenas 6 dias e uma média diária necessária para o Ouro que é o dobro da atual, estamos em um ponto de inflexão crítico. A projeção nos coloca abaixo da Meta Bronze e, preocupantemente, aquém do resultado do ano passado.
Propongo um **'Sprint Final de Otimização'**:
1.  **Maximização do Ticket Médio:** Foco urgente em *upsell/cross-sell*. Treinamento relâmpago para a equipe sobre combos irresistíveis ou a criação de "kits de valor" para incentivar compras de maior volume.
2.  **Ofertas de Impulso:** Lançar promoções exclusivas para compras acima de um determinado valor (ex: "Ganhe X ao gastar Y"), incentivando o cliente a aumentar o carrinho médio no ato da compra.
3.  **Engajamento Intensivo:** Desafiar a equipe com mini-metas diárias agressivas em Ticket Médio e VAV (Valor por Atendimento Visitante), com recompensas instantâneas para os melhores desempenhos.
Nossa meta para estes últimos 6 dias deve ser minimizar a diferença para 2024 e lutar com unhas e dentes para nos aproximarmos ao máximo da Meta Bronze, transformando cada um dos 286 atendimentos diários em uma oportunidade de valor exponencial.
📆 Projeção de fechamento: R$ 293.606,63
🗓️ Dias restantes: 6</t>
  </si>
  <si>
    <t>Atualização Comercial – OUTUBRO 2025
🔍 *RESUMO*
✔️ Realizado: R$ 240.963,19
📅 Média/dia: R$ 9.638,53
🎫 Ticket médio: R$ 33,57
👥 Atend./dia: 290
🎯 *METAS (vs. OURO)*
Desempenho: 69.96%
Faltam: R$ 103.470,61
(Bronze: R$ 320.473,19 | Prata: R$ 327.960,88 | Ouro: R$ 344.433,80)
📉 *COMPARAÇÕES*
◀️ Média necessária p/ Ouro: R$ 20.694,12
(vs. atual: R$ 9.638,53)
◀️ Outubro/2024: R$ 299.507,65
📈 Variação anual (prev.): -0.24%
💡 *INSIGHT ESTRATÉGICO*
Estamos na reta final com um "gap" desafiador para todas as metas. A média diária necessária para o Ouro é mais que o dobro da nossa performance atual, o que nos coloca em um cenário de exigência máxima. A projeção de fechamento, inclusive, nos deixa abaixo da Meta Bronze e ligeiramente aquém do ano anterior. Não podemos nos dar ao luxo de apenas "manter" o ritmo. Este é o momento para um *sprint final estratégico e agressivo*, focado em elevar o valor de cada interação. Sugiro uma ação imediata em duas frentes:
1.  **Explosão do Ticket Médio:** Com 290 atendimentos/dia, temos volume. Foco total em up-sell e cross-sell. Criar combos irresistíveis ou ofertas "leve mais por pouco mais" para os produtos de maior margem ou giro. Cada cliente deve sair com um valor de carrinho maior.
2.  **Campanha de Curto Prazo e Alta Conversão:** Ativar promoções relâmpago segmentadas para as próximas 48h, com gatilhos de urgência e escassez. Pensar em produtos que possam gerar volume rápido ou que reativem clientes inativos.
A meta agora é *mitigar a diferença e garantir ao menos a Meta Bronze*, o que já exigirá um salto significativo de performance. É hora de injeção máxima de energia e foco na maximização do valor por atendimento.
📆 Projeção de fechamento: R$ 298.794,36
🗓️ Dias restantes: 5</t>
  </si>
  <si>
    <t>Atualização Comercial – OUTUBRO 2025
🔍 *RESUMO*
✔️ Realizado: R$ 249.915,07
📅 Média/dia: R$ 9.612,12
🎫 Ticket médio: R$ 33,71
👥 Atend./dia: 288
🎯 *METAS (vs. OURO)*
Desempenho: 72.56%
Faltam: R$ 94.518,73
(Bronze: R$ 320.473,19 | Prata: R$ 327.960,88 | Ouro: R$ 344.433,80)
📉 *COMPARAÇÕES*
◀️ Média necessária p/ Ouro: R$ 23.629,68
(vs. atual: R$ 9.612,12)
◀️ Outubro/2024: R$ 299.507,65
📈 Variação anual (prev.): -0.51%
💡 *INSIGHT ESTRATÉGICO*
A reta final de Outubro nos coloca em um cenário de **máxima pressão e aceleração**. Com apenas 4 dias no calendário, o salto necessário para atingir a Meta Ouro exige uma média diária de R$ 23.629,68 – um patamar quase 2.5x superior à nossa média atual. A projeção de fechamento *abaixo* do ano anterior indica que não estamos apenas longe das metas, mas correndo o risco de um recuo. É como ter o combustível no fim para uma subida íngreme.
Minha sugestão é ativar um **"Modo Turbo"** imediato focado em alavancar o valor de cada interação:
1.  **Campanha "Últimos Dias de Outubro":** Implementar ofertas relâmpago de combos de produtos de alto valor agregado (ex: "Monte seu Kit com X% de desconto" ou "Leve o segundo item com 50% de desconto") que incentivem um ticket médio significativamente maior, impulsionando a receita por atendimento.
2.  **Performance por Atendimento:** Realizar um briefing rápido com a equipe para focar intensamente em estratégias de upsell e cross-sell, oferecendo produtos complementares ou de maior valor em cada venda. Podemos instituir um bônus diário agressivo para as lojas/vendedores que superarem a meta diária de ticket médio, motivando um sprint final.
É crucial transformar este momento desafiador em uma oportunidade para reverter a projeção e buscar, ao menos, a Meta Bronze com um esforço concentrado e estratégico.
📆 Projeção de fechamento: R$ 297.975,66
🗓️ Dias restantes: 4</t>
  </si>
  <si>
    <t>Atualização Comercial – OUTUBRO 2025
🔍 *RESUMO*
✔️ Realizado: R$ 281.521,74
📅 Média/dia: R$ 9.384,06
🎫 Ticket médio: R$ 33,65
👥 Atend./dia: 282
🎯 *METAS (vs. OURO)*
Desempenho: 81.73%
Faltam: R$ 62.912,06
(Bronze: R$ 320.473,19 | Prata: R$ 327.960,88 | Ouro: R$ 344.433,80)
📉 *COMPARAÇÕES*
◀️ Média necessária p/ Ouro: R$ 0,00
(vs. atual: R$ 9.384,06)
◀️ Outubro/2024: R$ 299.507,65
📈 Variação anual (prev.): -2.87%
💡 *INSIGHT ESTRATÉGICO*
Fechamos oficialmente o mês de Outubro com R$ 281.521,74. O desempenho ficou aquém de todas as metas, não atingindo sequer o patamar Bronze, e ficou também abaixo da própria projeção de fechamento para o mês. Mais crítico, este resultado final representa uma queda de aproximadamente 6% em comparação a Outubro/2024 (R$ 299.507,65), uma desaceleração mais acentuada do que a variação de -2.87% que nossa projeção indicava.
É hora de acionar o modo "Análise Forense". Precisamos mergulhar nos dados para entender as causas dessa performance: quais categorias de produtos falharam em vender? Há gargalos de equipe ou em determinados turnos? O ticket médio de R$ 33,65 precisa ser trabalhado ativamente. Para Novembro, a estratégia deve ser de "ataque de precisão": focar em promoções que realmente alavancam o valor do carrinho, revitalizar o treinamento da equipe para up-selling e cross-selling, e garantir um mix de produtos que ressoe com a demanda atual. O tempo é crucial para reverter essa tendência e buscar um fechamento de ano mais robusto.
📆 Projeção de fechamento: R$ 290.905,80
🗓️ Dias restantes: 0</t>
  </si>
  <si>
    <t>Atualização Comercial – NOVEMBRO 2025
🔍 *RESUMO*
✔️ Realizado: R$ 20.953,20
📅 Média/dia: R$ 10.476,60
🎫 Ticket médio: R$ 35,10
👥 Atend./dia: 299
🎯 *METAS (vs. OURO)*
Desempenho: 6.13%
Faltam: R$ 320.895,37
(Bronze: R$ 318.067,80 | Prata: R$ 325.499,29 | Ouro: R$ 341.848,57)
📉 *COMPARAÇÕES*
◀️ Média necessária p/ Ouro: R$ 11.460,55
(vs. atual: R$ 10.476,60)
◀️ Novembro/2024: R$ 297.259,63
📈 Variação anual (prev.): +5.73%
💡 *INSIGHT ESTRATÉGICO*
Estamos nos primeiros metros da maratona de Novembro, com uma projeção inicial de +5.73% de crescimento sobre o ano anterior, o que estabelece uma base promissora. Contudo, nossa média de venda diária atual (R$ 10.476,60) está R$ 983,95 abaixo do ritmo necessário para alcançar a ambiciosa Meta Ouro (R$ 11.460,55/dia). Projetamos um fechamento de R$ 314.298,00, que nos deixaria aquém até mesmo da Meta Bronze.
Com um volume de 299 atendimentos diários e um ticket médio de R$ 35,10, o desafio imediato não é primariamente de tráfego, mas sim de otimização do valor de cada transação. Para recalibrar nossa rota e atingir o Ouro, precisamos elevar o ticket médio em apenas R$ 3,30 por atendimento.
**Recomendação Estratégica:** A prioridade para os próximos dias é alavancar o ticket médio. Sugiro foco em:
1.  **"Upgrade Inteligente":** Treinamento intensivo para que a equipe ofereça ativamente opções de maior valor ou complementares em cada venda, focando no benefício para o cliente.
2.  **"Pílulas de Valor":** Criação de mini-campanhas relâmpago (por exemplo, "leve 2 produtos e ganhe X% no segundo") ou combos promocionais que incentivem a compra adicional e aumentem o valor percebido.
3.  **Merchandising Dinâmico:** Reorganizar displays nas áreas de maior fluxo para destacar produtos de maior margem ou que facilitem o cross-selling, convertendo o alto volume de atendimentos em vendas de maior valor.
Ajustes cirúrgicos agora garantirão o fôlego necessário para os 28 dias restantes.
📆 Projeção de fechamento: R$ 314.298,00
🗓️ Dias restantes: 28</t>
  </si>
  <si>
    <t>Atualização Comercial – NOVEMBRO 2025
🔍 *RESUMO*
✔️ Realizado: R$ 20.953,20
📅 Média/dia: R$ 10.476,60
🎫 Ticket médio: R$ 35,10
👥 Atend./dia: 299
🎯 *METAS (vs. OURO)*
Desempenho: 6.13%
Faltam: R$ 320.895,37
(Bronze: R$ 318.067,80 | Prata: R$ 325.499,29 | Ouro: R$ 341.848,57)
📉 *COMPARAÇÕES*
◀️ Média necessária p/ Ouro: R$ 11.885,01
(vs. atual: R$ 10.476,60)
◀️ Novembro/2024: R$ 297.259,63
📈 Variação anual (prev.): +5.73%
💡 *INSIGHT ESTRATÉGICO*
Novembro/25 - Primeiros dias em análise: Observamos um excelente ritmo de *atendimentos diários (299)*, o que nos dá uma base sólida. Contudo, a média de venda atual (R$ 10.476,60) está R$ 1.408,41 abaixo do necessário para pavimentar o caminho até a Meta Ouro. A projeção atual (R$ 314.298,00) ainda nos deixa aquém da Meta Bronze. Nosso desafio não é o volume de pessoas, mas sim a *otimização de cada interação*. Para fechar essa lacuna diária, recomendo focar em estratégias de *aumento de ticket médio*, como *combos inteligentes* ou *vendas complementares* bem treinadas, transformando cada atendimento em uma oportunidade maior. Temos 27 dias para acelerar, o motor está ligado, precisamos injetar mais potência por ciclo.
📆 Projeção de fechamento: R$ 314.298,00
🗓️ Dias restantes: 27</t>
  </si>
  <si>
    <t>Atualização Comercial – NOVEMBRO 2025
🔍 *RESUMO*
✔️ Realizado: R$ 29.186,12
📅 Média/dia: R$ 9.728,71
🎫 Ticket médio: R$ 34,26
👥 Atend./dia: 285
🎯 *METAS (vs. OURO)*
Desempenho: 8.54%
Faltam: R$ 312.662,45
(Bronze: R$ 318.067,80 | Prata: R$ 325.499,29 | Ouro: R$ 341.848,57)
📉 *COMPARAÇÕES*
◀️ Média necessária p/ Ouro: R$ 12.025,48
(vs. atual: R$ 9.728,71)
◀️ Novembro/2024: R$ 297.259,63
📈 Variação anual (prev.): -1.82%
💡 *INSIGHT ESTRATÉGICO*
Estamos com um *excelente volume de tráfego* (285 atendimentos/dia), indicando que as pessoas estão chegando. No entanto, o motor das vendas ainda não está girando na rotação necessária para o ouro. Para atingir nossa meta, precisamos adicionar *R$ 2.296,77* à média diária atual, um salto significativo. O ticket médio de R$ 34,26, combinado com o alto fluxo, aponta para uma grande oportunidade de otimização em cada atendimento. Minhas recomendações são: 1) Reafirmar com a equipe a importância vital do *cross-selling e up-selling* neste momento, transformando cada "olhada" em uma "compra maior"; 2) Avaliar e ajustar nossos *planos de incentivo* ou comissionamento para itens de maior valor agregado, focando em produtos que impulsionam o ticket médio. Precisamos extrair mais valor de cada cliente que entra na loja para converter este tráfego em receita e evitar fechar abaixo do ano anterior.
📆 Projeção de fechamento: R$ 291.861,20
🗓️ Dias restantes: 26</t>
  </si>
  <si>
    <t>Atualização Comercial – NOVEMBRO 2025
🔍 *RESUMO*
✔️ Realizado: R$ 37.124,97
📅 Média/dia: R$ 9.281,24
🎫 Ticket médio: R$ 34,09
👥 Atend./dia: 273
🎯 *METAS (vs. OURO)*
Desempenho: 10.86%
Faltam: R$ 304.723,60
(Bronze: R$ 318.067,80 | Prata: R$ 325.499,29 | Ouro: R$ 341.848,57)
📉 *COMPARAÇÕES*
◀️ Média necessária p/ Ouro: R$ 12.188,94
(vs. atual: R$ 9.281,24)
◀️ Novembro/2024: R$ 297.259,63
📈 Variação anual (prev.): -6.33%
💡 *INSIGHT ESTRATÉGICO*
Os primeiros dias de novembro acendem um alerta claro: nossa projeção aponta para um fechamento 6.33% abaixo do ano anterior, e para o Ouro, precisamos elevar a média diária em R$ 2.907,70 – um salto de mais de 31%. Com 273 atendimentos diários e um ticket médio de R$ 34,09, a alavanca principal não está na quantidade de clientes, mas no *valor que cada um gera*. Proponho uma imersão imediata em estratégias de 'Expansão de Cesta': focar em treinamento intensivo de cross-selling/up-selling para a equipe, e implementar combos promocionais ou ofertas de produtos complementares que incentivem um ticket médio mais robusto. A meta é capitalizar a boa frequência de loja, garantindo que cada cliente maximize seu potencial de compra conosco.
📆 Projeção de fechamento: R$ 278.437,28
🗓️ Dias restantes: 25</t>
  </si>
  <si>
    <t>Atualização Comercial – NOVEMBRO 2025
🔍 *RESUMO*
✔️ Realizado: R$ 45.940,07
📅 Média/dia: R$ 9.188,01
🎫 Ticket médio: R$ 34,39
👥 Atend./dia: 268
🎯 *METAS (vs. OURO)*
Desempenho: 13.44%
Faltam: R$ 295.908,50
(Bronze: R$ 318.067,80 | Prata: R$ 325.499,29 | Ouro: R$ 341.848,57)
📉 *COMPARAÇÕES*
◀️ Média necessária p/ Ouro: R$ 12.329,52
(vs. atual: R$ 9.188,01)
◀️ Novembro/2024: R$ 297.259,63
📈 Variação anual (prev.): -7.27%
💡 *INSIGHT ESTRATÉGICO*
Novembro iniciou e a bússola aponta para uma trajetória que precisa de ajuste. A média diária atual (R$ 9.188,01) está R$ 3.141,51 abaixo do necessário para o Ouro. Mais preocupante, a projeção mostra um recuo de 7.27% frente a NOV/24. Com 268 atendimentos/dia, temos tráfego, mas não estamos capitalizando ao máximo. A chave é **elevar o valor de cada interação**. Proponho foco imediato em: 1) Campanhas de *upsell/cross-sell* estruturadas para aumentar o Ticket Médio; 2) Treinamento intensivo em *venda consultiva* para otimizar a conversão e valor por cliente. É tempo de redefinir o curso para garantir um mês forte!
📆 Projeção de fechamento: R$ 275.640,42
🗓️ Dias restantes: 24</t>
  </si>
  <si>
    <t>Atualização Comercial – NOVEMBRO 2025
🔍 *RESUMO*
✔️ Realizado: R$ 53.043,31
📅 Média/dia: R$ 8.840,55
🎫 Ticket médio: R$ 34,02
👥 Atend./dia: 261
🎯 *METAS (vs. OURO)*
Desempenho: 15.52%
Faltam: R$ 288.805,26
(Bronze: R$ 318.067,80 | Prata: R$ 325.499,29 | Ouro: R$ 341.848,57)
📉 *COMPARAÇÕES*
◀️ Média necessária p/ Ouro: R$ 12.556,75
(vs. atual: R$ 8.840,55)
◀️ Novembro/2024: R$ 297.259,63
📈 Variação anual (prev.): -10.78%
💡 *INSIGHT ESTRATÉGICO*
Estamos em um cenário que exige atenção máxima: projetamos fechar Novembro 10.78% abaixo do ano anterior e bem distantes da Meta Ouro. Atingir R$ 12.556,75 diários – um salto de ~42% sobre a média atual – é nosso desafio primordial.
É hora de acionar nosso modo de 'engenharia de performance'. Precisamos extrair mais valor de cada interação e acelerar o ritmo. Minhas recomendações são:
1.  **Potencializar o Ticket Médio (TM):** Com 261 atendimentos/dia, nosso TM de R$ 34,02 tem grande espaço para crescimento. Vamos implementar 'kits estratégicos' e 'upgrades irresistíveis' que elevem cada compra em, no mínimo, 30%, visando um TM próximo a R$ 44-45. Isso ajudará a fechar parte do gap diário.
2.  **Reativação Inteligente:** Segmentar e contatar clientes que compraram em Outubro, mas ainda não em Novembro, com uma oferta exclusiva e por tempo limitado. O custo de reativação é menor que o de aquisição e pode gerar um pico rápido de vendas.
3.  **Gestão Dinâmica do Mix:** Focar em promoções de produtos com maior margem e rotatividade. Realizar micro-campanhas internas para a equipe, incentivando a venda desses itens através de metas diárias e bonificações rápidas. Precisamos de cada atendimento gerando mais valor.
📆 Projeção de fechamento: R$ 265.216,55
🗓️ Dias restantes: 23</t>
  </si>
  <si>
    <t>Atualização Comercial – NOVEMBRO 2025
🔍 *RESUMO*
✔️ Realizado: R$ 63.085,37
📅 Média/dia: R$ 9.012,20
🎫 Ticket médio: R$ 33,48
👥 Atend./dia: 271
🎯 *METAS (vs. OURO)*
Desempenho: 18.45%
Faltam: R$ 278.763,20
(Bronze: R$ 318.067,80 | Prata: R$ 325.499,29 | Ouro: R$ 341.848,57)
📉 *COMPARAÇÕES*
◀️ Média necessária p/ Ouro: R$ 12.671,05
(vs. atual: R$ 9.012,20)
◀️ Novembro/2024: R$ 297.259,63
📈 Variação anual (prev.): -9.05%
💡 *INSIGHT ESTRATÉGICO*
Nossa performance inicial mostra um esforço significativo em volume de atendimentos (271/dia), mas o barco de Novembro está navegando com uma projeção que nos deixa 9.05% abaixo do ano anterior e significativamente longe de qualquer meta. Com um ticket médio de R$ 33,48, estamos perdendo o potencial de cada cliente.
O desafio é claro: precisamos subir a média diária de R$ 9.012,20 para R$ 12.671,05 para mirarmos no Ouro. Isso não é uma maratona para ser corrida no ritmo atual; é um sprint que exige uma *turbinada na rentabilidade por cliente*.
Minha recomendação urgente é focar na *elevação imediata do valor de cada cesta de compras*. Com 22 dias restantes, sugiro:
1.  **Programa de "Upgrade Imediato":** Treinar e incentivar a equipe para apresentar produtos complementares ou de maior valor (upselling/cross-selling) em cada atendimento, com metas diárias claras para incremento no ticket médio.
2.  **Ofertas de 'Valor Agregado':** Desenvolver combos e kits promocionais com margens atraentes que estimulem o aumento do volume de itens por transação.
3.  **Análise de Desistência:** Investigar os pontos de fricção no funil de vendas que podem estar impedindo o aumento do ticket médio, desde a abordagem inicial até o checkout.
Não podemos nos contentar em apenas atender; precisamos *maximizar cada interação*.
📆 Projeção de fechamento: R$ 270.365,87
🗓️ Dias restantes: 22</t>
  </si>
  <si>
    <t>Atualização Comercial – NOVEMBRO 2025
🔍 *RESUMO*
✔️ Realizado: R$ 63.085,37
📅 Média/dia: R$ 9.012,20
🎫 Ticket médio: R$ 33,48
👥 Atend./dia: 271
🎯 *METAS (vs. OURO)*
Desempenho: 18.45%
Faltam: R$ 278.763,20
(Bronze: R$ 318.067,80 | Prata: R$ 325.499,29 | Ouro: R$ 341.848,57)
📉 *COMPARAÇÕES*
◀️ Média necessária p/ Ouro: R$ 12.671,05
(vs. atual: R$ 9.012,20)
◀️ Novembro/2024: R$ 297.259,63
📈 Variação anual (prev.): -9.05%
💡 *INSIGHT ESTRATÉGICO*
Novembro começou, mas a nossa "máquina de vendas" ainda opera abaixo da potência ideal para as metas. Com a média diária necessária para o Ouro quase 40% acima da atual (R$ 12.671,05 vs. R$ 9.012,20), e uma projeção anual 9,05% menor que o ano anterior, precisamos de uma injeção de energia estratégica. O desafio se concentra em duas alavancas primárias:
1.  **Potencializar o Tráfego Qualificado:** Para alcançar o Ouro com o ticket médio atual, precisaríamos escalar os atendimentos diários de 271 para aproximadamente 380. Sugiro uma **campanha de Blitz Marketing focada em canais digitais de alta conversão**, com ofertas de valor percebido alto para atrair um volume significativo de novos atendimentos, possivelmente via parcerias estratégicas locais ou cupons digitais segmentados.
2.  **Elevar o Valor do "Cesto":** Paralelamente, o ticket médio precisa saltar de R$ 33,48 para cerca de R$ 46,75. Proponho a **implementação imediata de "Power Bundles" ou combos de produtos complementares com desconto progressivo**, incentivando o cliente a levar mais itens. Além disso, um **desafio de Upsell/Cross-sell de 3 dias para a equipe, com bônus por performance diária**, pode gerar um impulso rápido e mensurável no ticket médio.
A hora de recalibrar a rota é agora, nos próximos 22 dias. Precisamos de ações táticas que atinjam o cliente certo, com a oferta certa, para inverter a projeção e acelerar rumo às metas.
📆 Projeção de fechamento: R$ 270.365,87
🗓️ Dias restantes: 22</t>
  </si>
  <si>
    <t>Atualização Comercial – NOVEMBRO 2025
🔍 *RESUMO*
✔️ Realizado: R$ 77.387,58
📅 Média/dia: R$ 9.673,45
🎫 Ticket médio: R$ 34,30
👥 Atend./dia: 284
🎯 *METAS (vs. OURO)*
Desempenho: 22.64%
Faltam: R$ 264.460,99
(Bronze: R$ 318.067,80 | Prata: R$ 325.499,29 | Ouro: R$ 341.848,57)
📉 *COMPARAÇÕES*
◀️ Média necessária p/ Ouro: R$ 12.593,38
(vs. atual: R$ 9.673,45)
◀️ Novembro/2024: R$ 297.259,63
📈 Variação anual (prev.): -2.37%
💡 *INSIGHT ESTRATÉGICO*
Nosso início de novembro está nos colocando numa rota de colisão com as metas, com a projeção de R$ 290.203,42 ficando abaixo de todos os objetivos e até mesmo do resultado de Novembro/2024. A diferença entre nossa média diária atual (R$ 9.673,45) e a necessária para o Ouro (R$ 12.593,38) representa um "fosso" de quase R$ 3.000 por dia que precisamos transpor imediatamente. É hora de engatar a marcha e virar o jogo.
Minhas recomendações para construir essa virada são:
1.  **"Magnetismo no Ticket Médio":** Com 284 atendimentos diários, um foco intensivo em *cross-selling* inteligente e *upselling* de valor pode elevar nosso ticket médio. Proponho um desafio de aumento de 15% no TM, o que sozinho já nos colocaria muito mais próximos da média diária necessária para o Ouro.
2.  **"Sprint de Reativação Relâmpago":** Precisamos de um pico de volume de vendas. Identificar e acionar nossos clientes inativos com ofertas de "última chance" personalizadas ou condições especiais (ex: "pré-Black Friday exclusiva para você") nos próximos 7 dias. O objetivo é criar um fluxo adicional de receita de forma rápida.
3.  **"Equipe no Comando":** Empoderar as equipes de venda com autonomia para montar combos promocionais rápidos e específicos para os próximos 3-5 dias, focando em produtos de maior margem ou estoque parado. Isso gera dinamismo no ponto de venda e incentiva a proatividade para bater as metas diárias de forma criativa.
Precisamos mudar a inclinação da curva agora para evitar que o mês se consolide abaixo do esperado.
📆 Projeção de fechamento: R$ 290.203,42
🗓️ Dias restantes: 21</t>
  </si>
  <si>
    <t>Atualização Comercial – NOVEMBRO 2025
🔍 *RESUMO*
✔️ Realizado: R$ 77.387,58
📅 Média/dia: R$ 9.673,45
🎫 Ticket médio: R$ 34,30
👥 Atend./dia: 284
🎯 *METAS (vs. OURO)*
Desempenho: 22.64%
Faltam: R$ 264.460,99
(Bronze: R$ 318.067,80 | Prata: R$ 325.499,29 | Ouro: R$ 341.848,57)
📉 *COMPARAÇÕES*
◀️ Média necessária p/ Ouro: R$ 12.593,38
(vs. atual: R$ 9.673,45)
◀️ Novembro/2024: R$ 297.259,63
📈 Variação anual (prev.): -2.37%
💡 *INSIGHT ESTRATÉGICO*
Estamos ainda na fase inicial de Novembro, mas a projeção atual acende um alerta estratégico: se mantivermos o ritmo, fecharemos o mês abaixo do desempenho de 2024 e distantes de todas as metas. A média diária de R$ 9.673,45 está R$ 2.920 aquém do necessário para o Ouro. Para reverter essa *inércia negativa* e buscar o pódio, precisamos de uma guinada tática em duas frentes:
1.  **Elevar o Ticket Médio (R$ 34,30) através de *Valor Agregado*:** Em vez de focar apenas em descontos, proponho uma "curadoria de ofertas" que empacotem produtos complementares ou de maior valor, transformando uma venda simples em uma solução completa. Ex: "Kit Essencial [Produto principal + 2 complementos]" ou "Upgrade para a Experiência Premium com X% de economia". O foco é treinar a equipe para um *upselling consultivo*, destacando o benefício extra ao cliente.
2.  **Aumentar o Fluxo Qualificado e a Conversão:** Nos próximos 10 dias, é crucial ativar uma "campanha relâmpago" com foco em segmentos específicos de nosso CRM, oferecendo acesso antecipado a novidades ou condições exclusivas para reengajar clientes inativos. Paralelamente, podemos otimizar o tempo de atendimento em loja, com foco em uma experiência mais fluida para converter visitantes em compradores de forma mais eficiente.
O tempo é nosso ativo mais valioso nos próximos 21 dias. Precisamos de uma execução ágil e direcionada para não só bater a meta, mas também superar o ano anterior.
📆 Projeção de fechamento: R$ 290.203,42
🗓️ Dias restantes: 21</t>
  </si>
  <si>
    <t>Atualização Comercial – NOVEMBRO 2025
🔍 *RESUMO*
✔️ Realizado: R$ 86.985,06
📅 Média/dia: R$ 9.665,01
🎫 Ticket médio: R$ 34,77
👥 Atend./dia: 280
🎯 *METAS (vs. OURO)*
Desempenho: 25.45%
Faltam: R$ 254.863,51
(Bronze: R$ 318.067,80 | Prata: R$ 325.499,29 | Ouro: R$ 341.848,57)
📉 *COMPARAÇÕES*
◀️ Média necessária p/ Ouro: R$ 12.743,18
(vs. atual: R$ 9.665,01)
◀️ Novembro/2024: R$ 297.259,63
📈 Variação anual (prev.): -2.46%
💡 *INSIGHT ESTRATÉGICO*
A projeção de fechamento abaixo da Meta Bronze e a variação negativa versus o ano anterior ligam um alerta. Estamos *navegando abaixo do ritmo desejado*, com uma lacuna diária de mais de R$ 3 mil para alcançarmos a Meta Ouro. Com 280 atendimentos/dia, nosso foco imediato deve ser capitalizar a base existente. Sugiro uma blitz focada em: 1) Intensificar o treinamento em *upsell/cross-sell* para elevar o ticket médio de R$ 34,77, criando combos de valor percebido; e 2) Lançar uma campanha de incentivo de curto prazo para a equipe comercial, vinculada diretamente ao atingimento da média diária necessária de R$ 12.743,18, transformando cada atendimento em uma oportunidade máxima. Precisamos *ajustar nossa rota* agora para não comprometer o mês.
📆 Projeção de fechamento: R$ 289.950,20
🗓️ Dias restantes: 20</t>
  </si>
  <si>
    <t>Atualização Comercial – NOVEMBRO 2025
🔍 *RESUMO*
✔️ Realizado: R$ 95.208,18
📅 Média/dia: R$ 9.520,82
🎫 Ticket médio: R$ 34,40
👥 Atend./dia: 280
🎯 *METAS (vs. OURO)*
Desempenho: 27.85%
Faltam: R$ 246.640,39
(Bronze: R$ 318.067,80 | Prata: R$ 325.499,29 | Ouro: R$ 341.848,57)
📉 *COMPARAÇÕES*
◀️ Média necessária p/ Ouro: R$ 12.981,07
(vs. atual: R$ 9.520,82)
◀️ Novembro/2024: R$ 297.259,63
📈 Variação anual (prev.): -3.91%
💡 *INSIGHT ESTRATÉGICO*
A análise dos primeiros 10 dias de Novembro acende um alerta: nossa média diária atual (R$ 9.520,82) está R$ 3.460,25 abaixo do necessário para alcançar a Meta Ouro, projetando um fechamento abaixo do ano anterior. Não podemos depender apenas do volume de atendimentos para fechar essa lacuna.
O caminho mais rápido para recalibrar nossa trajetória é *otimizar o valor de cada transação*. Com um ticket médio de R$ 34,40 e 280 atendimentos/dia, há um enorme potencial. Recomendo focar urgentemente em:
1.  **"Estratégia de Cesta Rica":** Criar e comunicar combos de produtos que agreguem valor, incentivando o cliente a levar mais itens ou produtos de maior margem. Ex: "Leve 2, Ganhe X% no segundo" ou "Kit Premium com Y% de desconto".
2.  **Capacitação e Incentivo:** Reforçar o treinamento de upsell e cross-sell para a equipe, atrelando bônus ou reconhecimento a vendas que superem o ticket médio padrão.
3.  **Visibilidade da Meta:** Deixar a meta diária (R$ 12.981,07) visível e acompanhar em tempo real o ticket médio por vendedor para criar engajamento e competição saudável.
É crucial elevarmos o valor da interação com cada cliente para virar o jogo ainda neste mês. Cada atendimento deve ser uma oportunidade de construir uma "Cesta Rica".
📆 Projeção de fechamento: R$ 285.624,54
🗓️ Dias restantes: 19</t>
  </si>
  <si>
    <t>Atualização Comercial – NOVEMBRO 2025
🔍 *RESUMO*
✔️ Realizado: R$ 103.578,32
📅 Média/dia: R$ 9.416,21
🎫 Ticket médio: R$ 34,26
👥 Atend./dia: 278
🎯 *METAS (vs. OURO)*
Desempenho: 30.30%
Faltam: R$ 238.270,25
(Bronze: R$ 318.067,80 | Prata: R$ 325.499,29 | Ouro: R$ 341.848,57)
📉 *COMPARAÇÕES*
◀️ Média necessária p/ Ouro: R$ 13.237,24
(vs. atual: R$ 9.416,21)
◀️ Novembro/2024: R$ 297.259,63
📈 Variação anual (prev.): -4.97%
💡 *INSIGHT ESTRATÉGICO*
Apesar do esforço inicial, nosso radar comercial aponta para uma trajetória que nos deixará consideravelmente abaixo de todas as metas e do desempenho do ano passado. A média diária atual (R$ 9.416,21) está R$ 3.821 aquém do necessário para alcançar a Meta Ouro, e a projeção de fechamento já sinaliza um declínio de quase 5% em relação a Nov/2024. Não é apenas uma questão de acelerar; precisamos recalibrar nossa abordagem tática imediatamente. Sugiro uma imersão focada em dois pilares: 1) **Otimização do Ticket Médio:** Lançar ou intensificar ofertas de combos e bundles com maior valor percebido, focando em categorias com margem superior para elevar o gasto por atendimento. 2) **Impulso no Tráfego Qualificado:** Avaliar campanhas de reativação de clientes ou ações de marketing de guerrilha localizadas para aumentar o fluxo de atendimentos nas próximas 48h, direcionando para produtos de maior valor agregado. O tempo é curto, e a agilidade na resposta será crucial para virar o jogo.
📆 Projeção de fechamento: R$ 282.486,33
🗓️ Dias restantes: 18</t>
  </si>
  <si>
    <t>Atualização Comercial – NOVEMBRO 2025
🔍 *RESUMO*
✔️ Realizado: R$ 111.122,64
📅 Média/dia: R$ 9.260,22
🎫 Ticket médio: R$ 34,10
👥 Atend./dia: 275
🎯 *METAS (vs. OURO)*
Desempenho: 32.51%
Faltam: R$ 230.725,93
(Bronze: R$ 318.067,80 | Prata: R$ 325.499,29 | Ouro: R$ 341.848,57)
📉 *COMPARAÇÕES*
◀️ Média necessária p/ Ouro: R$ 13.572,11
(vs. atual: R$ 9.260,22)
◀️ Novembro/2024: R$ 297.259,63
📈 Variação anual (prev.): -6.54%
💡 *INSIGHT ESTRATÉGICO*
Estamos no ritmo de 32.51% da Meta Ouro e com uma projeção de fechamento 6.54% abaixo do ano anterior, o que acende um alerta vermelho. Nos 17 dias restantes, a necessidade de elevar nossa média diária de R$ 9.260,22 para R$ 13.572,11 representa um salto de quase 47%. O maior potencial, e o menos explorado, reside em cada um dos 275 clientes que já atendemos diariamente. Com um ticket médio de R$ 34,10 e esse volume, não precisamos necessariamente de mais tráfego, mas sim de uma *cesta de compras mais robusta*. Sugiro uma ofensiva focada em *otimização do valor do carrinho*. Isso inclui: 1) Reforço imediato em *upselling* e *cross-selling* através de quick-trainings com a equipe. 2) Criação e promoção de *combos estratégicos* que incentivem a compra de itens adicionais com percepção de valor. 3) Incentivos por *Ticket Médio Aumentado* para a equipe de vendas. Acelerar o valor por cliente é a rota mais eficiente para virar o jogo em novembro.
📆 Projeção de fechamento: R$ 277.806,60
🗓️ Dias restantes: 17</t>
  </si>
  <si>
    <t>Atualização Comercial – NOVEMBRO 2025
🔍 *RESUMO*
✔️ Realizado: R$ 117.800,71
📅 Média/dia: R$ 9.061,59
🎫 Ticket médio: R$ 33,88
👥 Atend./dia: 271
🎯 *METAS (vs. OURO)*
Desempenho: 34.46%
Faltam: R$ 224.047,86
(Bronze: R$ 318.067,80 | Prata: R$ 325.499,29 | Ouro: R$ 341.848,57)
📉 *COMPARAÇÕES*
◀️ Média necessária p/ Ouro: R$ 14.002,99
(vs. atual: R$ 9.061,59)
◀️ Novembro/2024: R$ 297.259,63
📈 Variação anual (prev.): -8.55%
💡 *INSIGHT ESTRATÉGICO*
Os números de hoje acendem um alerta máximo, Diretoria. Estamos numa rota de colisão com uma projeção de fechamento que não só falha em atingir a Meta Bronze, mas nos deixa 8.55% abaixo do desempenho de Novembro/24. Para sequer sonhar com a Meta Ouro, precisamos de um salto de mais de 50% na média diária – uma virada que exige mais que esforço, exige estratégia cirúrgica.
Minha recomendação é focar em duas alavancas críticas de forma intensiva:
1.  **Reforço no Ticket Médio:** Com R$ 33,88, precisamos de uma blitz de up-selling e cross-selling. Proponho um desafio de 'item extra no carrinho' para a equipe de vendas, com metas claras e incentivos diários para cada transação. O foco é 'turbinar' cada atendimento.
2.  **Micros-explosões de Demanda:** Lançar campanhas-relâmpago ultra-focadas em produtos estratégicos ou combos de valor. Essas ações de 24-48h devem gerar picos de tráfego e conversão, criando urgência e tracionando vendas em categorias específicas, para romper a inércia e impulsionar o volume rapidamente nos próximos 16 dias.
📆 Projeção de fechamento: R$ 271.847,79
🗓️ Dias restantes: 16</t>
  </si>
  <si>
    <t>Atualização Comercial – NOVEMBRO 2025
🔍 *RESUMO*
✔️ Realizado: R$ 128.132,66
📅 Média/dia: R$ 9.152,33
🎫 Ticket médio: R$ 33,92
👥 Atend./dia: 273
🎯 *METAS (vs. OURO)*
Desempenho: 37.48%
Faltam: R$ 213.715,91
(Bronze: R$ 318.067,80 | Prata: R$ 325.499,29 | Ouro: R$ 341.848,57)
📉 *COMPARAÇÕES*
◀️ Média necessária p/ Ouro: R$ 14.247,73
(vs. atual: R$ 9.152,33)
◀️ Novembro/2024: R$ 297.259,63
📈 Variação anual (prev.): -7.63%
💡 *INSIGHT ESTRATÉGICO*
Nosso ritmo atual, a R$ 9.152/dia, está *criticamente* abaixo dos R$ 14.247/dia necessários para atingir a Meta Ouro nos 15 dias restantes. A projeção de fechar 7.63% abaixo de NOV/2024 acende um forte alerta. Precisamos de uma **aceleração estratégica imediata**. Sugiro um plano de ação duplo para os próximos dias: 1️⃣ **Otimizar o Ticket Médio:** Foco total em upselling e cross-selling, criando ofertas de valor agregado (ex: "leve 2, pague 1.5" ou combos temáticos) que incentivem um gasto maior por cliente. 2️⃣ **Impulsionar o Volume:** Lançar um "Sprint de Vendas" com metas diárias agressivas para a equipe e promoções-chave em categorias de alto giro, comunicadas de forma urgente. A meta é *dobrar o foco* em cada interação para reverter a tendência.
📆 Projeção de fechamento: R$ 274.569,99
🗓️ Dias restantes: 15</t>
  </si>
  <si>
    <t>Atualização Comercial – NOVEMBRO 2025
🔍 *RESUMO*
✔️ Realizado: R$ 141.455,28
📅 Média/dia: R$ 9.430,35
🎫 Ticket médio: R$ 33,90
👥 Atend./dia: 282
🎯 *METAS (vs. OURO)*
Desempenho: 41.38%
Faltam: R$ 200.393,29
(Bronze: R$ 318.067,80 | Prata: R$ 325.499,29 | Ouro: R$ 341.848,57)
📉 *COMPARAÇÕES*
◀️ Média necessária p/ Ouro: R$ 14.313,81
(vs. atual: R$ 9.430,35)
◀️ Novembro/2024: R$ 297.259,63
📈 Variação anual (prev.): -4.83%
💡 *INSIGHT ESTRATÉGICO*
Nossa jornada de Novembro encontra um ponto crítico. Com 14 dias restantes, a projeção atual nos coloca *significativamente abaixo da Meta Bronze* e aquém do desempenho de 2024, indicando uma perda de tração que exige correção imediata. Para sequer sonhar com a Meta Ouro, precisamos mais do que acelerar: a média diária necessária (R$ 14.313,81) exige um salto de mais de 50% sobre nosso ritmo atual (R$ 9.430,35).
A urgência pede um plano de voo reajustado:
1.  **Turbo no Atendimento:** Intensificar ações que gerem fluxo e conversão imediata, como ofertas relâmpago segmentadas para nossa base de clientes mais engajada ou campanhas 'last-minute' focadas em canais digitais para os próximos dias.
2.  **Maximização por Cliente:** Focar no treinamento e incentivo à equipe para elevar o ticket médio com estratégias de 'value-add' (combos inteligentes, upsell consultivo) e promoções de "leve mais por menos" em produtos-chave.
Não estamos apenas mirando o Ouro, mas buscando recuperar o ímpeto e reverter a projeção negativa em relação ao ano passado. É hora de mobilizar a equipe com metas diárias visíveis e acompanhamento granular para que cada um dos 14 dias restantes seja decisivo.
📆 Projeção de fechamento: R$ 282.910,56
🗓️ Dias restantes: 14</t>
  </si>
  <si>
    <t>Atualização Comercial – NOVEMBRO 2025
🔍 *RESUMO*
✔️ Realizado: R$ 149.158,68
📅 Média/dia: R$ 9.322,42
🎫 Ticket médio: R$ 33,88
👥 Atend./dia: 279
🎯 *METAS (vs. OURO)*
Desempenho: 43.63%
Faltam: R$ 192.689,89
(Bronze: R$ 318.067,80 | Prata: R$ 325.499,29 | Ouro: R$ 341.848,57)
📉 *COMPARAÇÕES*
◀️ Média necessária p/ Ouro: R$ 14.822,30
(vs. atual: R$ 9.322,42)
◀️ Novembro/2024: R$ 297.259,63
📈 Variação anual (prev.): -5.92%
💡 *INSIGHT ESTRATÉGICO*
Nossa trajetória atual aponta para um fechamento de mês significativamente abaixo das metas e, preocupantemente, com uma retração de quase 6% em relação ao ano anterior. O desafio para alcançar a Meta Ouro é colossal, exigindo um salto diário de faturamento de 60% acima da média atual. Contudo, o alto volume de *279 atendimentos diários* é um ativo subaproveitado. O gargalo não está na ausência de clientes, mas na **baixa conversão de cada visita em valor**.
Para os próximos 13 dias, precisamos de uma guinada estratégica: converter nosso *tráfego* em *receita de forma mais eficiente*. A recomendação é focar em ações intensivas para **elevar o Ticket Médio**:
1.  **Campanhas de Combo &amp; Up-sell:** Desenvolver ofertas irresistíveis de produtos complementares ou versões premium, treinando a equipe para sugerir ativamente. Ex: "Leve o item X e adicione o Y com 20% de desconto".
2.  **Incentivo no Ponto de Venda:** Criar metas diárias de ticket médio para as equipes, com bônus ou reconhecimento, para estimular o foco em vendas de maior valor.
3.  **Itens de Alto Valor Percebido:** Destacar produtos com maior margem ou valor agregado que possam ser facilmente adicionados à compra principal.
É o momento de **otimizar a jornada de compra** de cada cliente, transformando cada atendimento em uma oportunidade maximizada. Não se trata de trazer mais gente, mas de vender mais e melhor para quem já está conosco.
📆 Projeção de fechamento: R$ 279.672,52
🗓️ Dias restantes: 13</t>
  </si>
  <si>
    <t>Atualização Comercial – NOVEMBRO 2025
🔍 *RESUMO*
✔️ Realizado: R$ 158.024,09
📅 Média/dia: R$ 9.295,53
🎫 Ticket médio: R$ 33,79
👥 Atend./dia: 278
🎯 *METAS (vs. OURO)*
Desempenho: 46.23%
Faltam: R$ 183.824,48
(Bronze: R$ 318.067,80 | Prata: R$ 325.499,29 | Ouro: R$ 341.848,57)
📉 *COMPARAÇÕES*
◀️ Média necessária p/ Ouro: R$ 15.318,71
(vs. atual: R$ 9.295,53)
◀️ Novembro/2024: R$ 297.259,63
📈 Variação anual (prev.): -6.19%
💡 *INSIGHT ESTRATÉGICO*
Atingir a Meta Ouro agora exige uma guinada estratégica imediata. Estamos com 46.23% do objetivo, e o desafio é gigante: pular de uma média diária de R$ 9.295,53 para R$ 15.318,71 nos próximos 12 dias. A projeção de fechamento abaixo do ano anterior (Novembro/2024) reforça a urgência de ação.
Sugiro uma ofensiva dupla:
1.  **Aumento Explosivo do Ticket Médio:** Implementar *incentivos por volume* (ex: "Leve 3, pague 2" em categorias específicas) e treinar a equipe para *vendas adicionais de alto valor* (cross-selling premium) em 100% dos atendimentos.
2.  **Reativação e Atração Rápida:** Lançar campanhas de *ofertas relâmpago exclusivas* para clientes inativos há 30-60 dias e divulgar *promoções de "última chance"* via canais diretos (WhatsApp, SMS) para gerar tráfego qualificado e acelerar conversões nas horas de pico.
É hora de acender o turbo e buscar a virada, transformando o desafio em oportunidade para superar o histórico!
📆 Projeção de fechamento: R$ 278.866,04
🗓️ Dias restantes: 12</t>
  </si>
  <si>
    <t>Atualização Comercial – NOVEMBRO 2025
🔍 *RESUMO*
✔️ Realizado: R$ 165.925,45
📅 Média/dia: R$ 9.218,08
🎫 Ticket médio: R$ 33,69
👥 Atend./dia: 277
🎯 *METAS (vs. OURO)*
Desempenho: 48.54%
Faltam: R$ 175.923,12
(Bronze: R$ 318.067,80 | Prata: R$ 325.499,29 | Ouro: R$ 341.848,57)
📉 *COMPARAÇÕES*
◀️ Média necessária p/ Ouro: R$ 15.993,01
(vs. atual: R$ 9.218,08)
◀️ Novembro/2024: R$ 297.259,63
📈 Variação anual (prev.): -6.97%
💡 *INSIGHT ESTRATÉGICO*
Atenção: nossa projeção aponta para um fechamento abaixo da Meta Bronze e do ano anterior, exigindo uma guinada estratégica imediata. O motor de vendas (R$ 9.218/dia) está subdimensionado para a distância que precisamos percorrer rumo ao Ouro (R$ 15.993/dia). Temos um bom volume de atendimentos, mas o 'combustível' (ticket médio R$ 33,69) está diluído. Nos próximos 11 dias, a chave é não apenas vender, mas *elevar o valor de cada venda*. Proponho focar em estratégias de *upselling/cross-selling agressivas*, criando combos de produtos que resolvam necessidades complementares do cliente, ou metas diárias de venda de itens de maior valor. Cada atendimento deve ser uma oportunidade para um 'carrinho turbinado'. Vamos acelerar com inteligência!
📆 Projeção de fechamento: R$ 276.542,42
🗓️ Dias restantes: 11</t>
  </si>
  <si>
    <t>Atualização Comercial – NOVEMBRO 2025
🔍 *RESUMO*
✔️ Realizado: R$ 174.300,08
📅 Média/dia: R$ 9.173,69
🎫 Ticket médio: R$ 33,57
👥 Atend./dia: 276
🎯 *METAS (vs. OURO)*
Desempenho: 50.99%
Faltam: R$ 167.548,49
(Bronze: R$ 318.067,80 | Prata: R$ 325.499,29 | Ouro: R$ 341.848,57)
📉 *COMPARAÇÕES*
◀️ Média necessária p/ Ouro: R$ 16.754,85
(vs. atual: R$ 9.173,69)
◀️ Novembro/2024: R$ 297.259,63
📈 Variação anual (prev.): -7.42%
💡 *INSIGHT ESTRATÉGICO*
Estamos em uma encruzilhada crítica para Novembro. A projeção atual nos distancia das metas e sinaliza uma retração de 7.42% em relação ao ano anterior – um cenário que exige ação imediata. Para alcançar a Meta Ouro, necessitamos duplicar nossa média diária para R$ 16.754,85 nos próximos 10 dias.
A sugestão é ativar um 'Modo Turbo' estratégico, focando em duas frentes:
1.  **Explorar o Share of Wallet:** Lançar ofertas segmentadas de upgrade ou cross-sell agressivo em categorias de maior margem para clientes que já estão na loja (presencial ou online), maximizando o valor de cada atendimento.
2.  **Reativação Pontual de Alta Qualidade:** Identificar e engajar os 20% clientes que geraram 80% da receita em períodos anteriores (análise RFM - Recência, Frequência, Valor Monetário), com convites exclusivos ou benefícios temporários para impulsionar compras de maior valor.
É fundamental engajar a equipe com bônus ou reconhecimento por atingir mini-metas diárias ambiciosas, transformando o desafio em um sprint coletivo e focado. A hora é de agilidade e precisão.
📆 Projeção de fechamento: R$ 275.210,65
🗓️ Dias restantes: 10</t>
  </si>
  <si>
    <t>Atualização Comercial – NOVEMBRO 2025
🔍 *RESUMO*
✔️ Realizado: R$ 185.370,48
📅 Média/dia: R$ 9.268,52
🎫 Ticket médio: R$ 33,59
👥 Atend./dia: 279
🎯 *METAS (vs. OURO)*
Desempenho: 54.23%
Faltam: R$ 156.478,09
(Bronze: R$ 318.067,80 | Prata: R$ 325.499,29 | Ouro: R$ 341.848,57)
📉 *COMPARAÇÕES*
◀️ Média necessária p/ Ouro: R$ 17.386,45
(vs. atual: R$ 9.268,52)
◀️ Novembro/2024: R$ 297.259,63
📈 Variação anual (prev.): -6.46%
💡 *INSIGHT ESTRATÉGICO*
A corrida para o fim do mês exige um sprint estratégico. A projeção nos coloca abaixo da Meta Bronze e com uma retração de 6.46% em relação ao ano anterior. O maior desafio reside na *média diária necessária de R$ 17.386,45* – quase o dobro do que realizamos hoje. Com 9 dias críticos, o bom volume de atendimentos (279/dia) é um ativo, mas o *Ticket Médio de R$ 33,59* é o nosso calcanhar de Aquiles.
Sugiro uma ofensiva focada em "elevação do carrinho":
1.  **Foco em Combos e Bundles:** Criar e comunicar ofertas irresistíveis de produtos complementares com valor percebido mais alto, incentivando a compra de mais itens por cliente.
2.  **Meta de Ticket Médio por Vendedor:** Definir um target diário agressivo de Ticket Médio para cada vendedor, atrelado a um bônus de performance de curto prazo para os últimos 9 dias.
3.  **Cross-selling Pós-venda:** Treinar a equipe para, após a primeira venda, sempre apresentar um item relacionado de valor agregado, como acessórios ou serviços.
É o momento de transformar volume em valor, convertendo cada atendimento numa oportunidade de R$ 50+.
📆 Projeção de fechamento: R$ 278.055,72
🗓️ Dias restantes: 9</t>
  </si>
  <si>
    <t>Atualização Comercial – NOVEMBRO 2025
🔍 *RESUMO*
✔️ Realizado: R$ 193.445,53
📅 Média/dia: R$ 9.211,69
🎫 Ticket médio: R$ 33,57
👥 Atend./dia: 278
🎯 *METAS (vs. OURO)*
Desempenho: 56.59%
Faltam: R$ 148.403,04
(Bronze: R$ 318.067,80 | Prata: R$ 325.499,29 | Ouro: R$ 341.848,57)
📉 *COMPARAÇÕES*
◀️ Média necessária p/ Ouro: R$ 18.550,38
(vs. atual: R$ 9.211,69)
◀️ Novembro/2024: R$ 297.259,63
📈 Variação anual (prev.): -7.03%
💡 *INSIGHT ESTRATÉGICO*
Os dados revelam que estamos num ponto crítico para Novembro. Para alcançar a Meta Ouro, precisamos mais do que dobrar nossa performance diária atual, um desafio que exige uma **manobra estratégica de virada**. A projeção de fechamento (-7.03% vs. ano anterior) é um sinal claro de que estamos perdendo terreno e que a inércia não é uma opção.
Para os próximos 8 dias, a prioridade é clara: **transformar o volume de atendimentos em valor e criar uma onda de urgência**. Sugiro um plano tático de três frentes:
1.  **Alavancagem do Ticket Médio:** Implementar uma estratégia de "construção de cesta" (basket building) agressiva, com ofertas de combos exclusivos e *upselling* forçado em produtos de maior margem ou ticket, com incentivos claros para a equipe de vendas. Nosso ticket médio atual de R$ 33,57 tem espaço para crescer exponencialmente.
2.  **Campanha de Impacto "Última Chance":** Lançar uma comunicação focada na escassez e no "último dia" de ofertas especiais de Black November, via SMS/WhatsApp e redes sociais, mirando clientes inativos e aqueles com carrinhos abandonados. O objetivo é converter indecisos imediatamente.
3.  **Metas Diárias Micro-Focadas:** Desdobrar a meta diária necessária (R$ 18.550,38) em objetivos por hora ou por turno, com acompanhamento em tempo real e reconhecimento para a equipe, mantendo a pressão e o foco no resultado a cada momento.
É hora de acionar a potência máxima e redefinir o curso para um fechamento mais forte.
📆 Projeção de fechamento: R$ 276.350,76
🗓️ Dias restantes: 8</t>
  </si>
  <si>
    <t>Atualização Comercial – NOVEMBRO 2025
🔍 *RESUMO*
✔️ Realizado: R$ 206.252,36
📅 Média/dia: R$ 9.375,11
🎫 Ticket médio: R$ 33,65
👥 Atend./dia: 282
🎯 *METAS (vs. OURO)*
Desempenho: 60.33%
Faltam: R$ 135.596,21
(Bronze: R$ 318.067,80 | Prata: R$ 325.499,29 | Ouro: R$ 341.848,57)
📉 *COMPARAÇÕES*
◀️ Média necessária p/ Ouro: R$ 19.370,89
(vs. atual: R$ 9.375,11)
◀️ Novembro/2024: R$ 297.259,63
📈 Variação anual (prev.): -5.38%
💡 *INSIGHT ESTRATÉGICO*
A reta final de Novembro nos exige um *pivô estratégico*. Apesar do alto volume de atendimentos (282/dia), nosso ticket médio (R$ 33,65) está freando o crescimento, e a projeção nos coloca abaixo de todas as metas e do ano anterior. A média diária necessária para o Ouro é mais que o dobro da atual, um desafio imenso em 7 dias.
Nossa prioridade máxima deve ser *alavancar o valor de cada interação*. Sugiro um foco intensivo em:
1.  **Upsell e Cross-sell obrigatórios**: Treinar e recompensar equipes para que cada cliente leve mais itens ou produtos de maior valor.
2.  **Combos Inteligentes e "Leve Mais"**: Estruturar ofertas que incentivem o aumento imediato do carrinho.
3.  **Ofertas de Impulso para os Últimos Dias**: Criar promoções agressivas para produtos-chave que acelerem o faturamento.
Não basta atender mais; precisamos vender mais para cada um que atendemos. Esta é a via mais rápida para mitigar a projeção de queda e tentar alcançar, no mínimo, a Meta Bronze.
📆 Projeção de fechamento: R$ 281.253,22
🗓️ Dias restantes: 7</t>
  </si>
  <si>
    <t>Atualização Comercial – NOVEMBRO 2025
🔍 *RESUMO*
✔️ Realizado: R$ 216.041,10
📅 Média/dia: R$ 9.393,09
🎫 Ticket médio: R$ 33,63
👥 Atend./dia: 282
🎯 *METAS (vs. OURO)*
Desempenho: 63.20%
Faltam: R$ 125.807,47
(Bronze: R$ 318.067,80 | Prata: R$ 325.499,29 | Ouro: R$ 341.848,57)
📉 *COMPARAÇÕES*
◀️ Média necessária p/ Ouro: R$ 20.967,91
(vs. atual: R$ 9.393,09)
◀️ Novembro/2024: R$ 297.259,63
📈 Variação anual (prev.): -5.20%
💡 *INSIGHT ESTRATÉGICO*
Estamos na reta final do mês e a distância para a meta Ouro exige uma aceleração vertiginosa, mais que dobrando nossa média diária atual. A projeção de fechamento abaixo do ano anterior e das próprias metas Bronze e Prata acende um sinal de alerta. Com 282 atendimentos/dia, temos fluxo, mas o ticket médio de R$ 33,63 indica que estamos perdendo a chance de maximizar cada venda.
Minha recomendação é focar em uma *otimização agressiva do valor por transação*:
1.  **Campanha "Impulso Final":** Criar e comunicar ofertas relâmpago focadas em bundles de produtos, combos estratégicos ou descontos progressivos ("compre 2, leve 3") que elevem o valor percebido e o ticket médio instantaneamente.
2.  **Incentivo Direcionado:** Implementar um pequeno incentivo extra para a equipe de vendas focar em produtos de maior valor agregado ou na técnica de upselling/cross-selling para cada cliente nos próximos 6 dias.
Precisamos virar o jogo transformando o volume de atendimentos já existente em um faturamento significativamente maior.
📆 Projeção de fechamento: R$ 281.792,74
🗓️ Dias restantes: 6</t>
  </si>
  <si>
    <t>Atualização Comercial – NOVEMBRO 2025
🔍 *RESUMO*
✔️ Realizado: R$ 223.800,22
📅 Média/dia: R$ 9.325,01
🎫 Ticket médio: R$ 33,49
👥 Atend./dia: 282
🎯 *METAS (vs. OURO)*
Desempenho: 65.47%
Faltam: R$ 118.048,35
(Bronze: R$ 318.067,80 | Prata: R$ 325.499,29 | Ouro: R$ 341.848,57)
📉 *COMPARAÇÕES*
◀️ Média necessária p/ Ouro: R$ 23.609,67
(vs. atual: R$ 9.325,01)
◀️ Novembro/2024: R$ 297.259,63
📈 Variação anual (prev.): -5.89%
💡 *INSIGHT ESTRATÉGICO*
Atingir a Meta Ouro nos últimos 5 dias representa um desafio de alta montanha, exigindo um salto de 2.5x na média diária atual. A projeção de fechamento abaixo de Nov/2024 é um alerta que exige reação. Para este sprint final, a estratégia deve ser tática e focada:
1.  **Combos de Valor e Up-sell:** Desenvolver e promover combos irresistíveis ou incentivos de up-selling que elevem o ticket médio imediatamente. Ex: "compre X e leve Y com Z% de desconto" ou "upgrade para o pacote premium".
2.  **Ativação Relâmpago da Base:** Disparar comunicação segmentada com ofertas exclusivas e de tempo ultra-limitado para clientes mais engajados, incentivando a compra impulsiva.
3.  **Bônus por Performance Diária:** Implementar um bônus relâmpago para a equipe de vendas, com metas diárias agressivas focadas em itens de maior margem ou no aumento do valor médio das transações.
Nosso foco agora é minimizar a distância para a Meta Prata e, crucialmente, superar o desempenho de Nov/2024 para fechar o mês com crescimento. Cada venda é crítica para virar o jogo neste sprint final.
📆 Projeção de fechamento: R$ 279.750,27
🗓️ Dias restantes: 5</t>
  </si>
  <si>
    <t>Atualização Comercial – NOVEMBRO 2025
🔍 *RESUMO*
✔️ Realizado: R$ 223.800,22
📅 Média/dia: R$ 9.325,01
🎫 Ticket médio: R$ 33,49
👥 Atend./dia: 282
🎯 *METAS (vs. OURO)*
Desempenho: 65.47%
Faltam: R$ 118.048,35
(Bronze: R$ 318.067,80 | Prata: R$ 325.499,29 | Ouro: R$ 341.848,57)
📉 *COMPARAÇÕES*
◀️ Média necessária p/ Ouro: R$ 29.512,09
(vs. atual: R$ 9.325,01)
◀️ Novembro/2024: R$ 297.259,63
📈 Variação anual (prev.): -5.89%
💡 *INSIGHT ESTRATÉGICO*
Diretoria, o placar para o fechamento de Novembro nos coloca em um cenário que exige realismo e ação imediata. A Meta Ouro, exigindo uma performance diária 3 vezes maior que nossa média atual nos próximos 4 dias, é, com a trajetória atual, um salto quântico dificilmente alcançável. Nossa projeção, inclusive, nos distancia da Meta Bronze e do resultado do ano passado.
O ponto nevrálgico é a *dissociação* entre o alto volume de atendimentos (282/dia) e o Ticket Médio (R$ 33,49). Isso sinaliza que o tráfego existe, mas não estamos convertendo a presença em valor substancial. Não é a falta de público, mas a falta de "profundidade" em cada transação.
Para os últimos 4 dias, nosso foco deve ser uma *cirurgia de precisão no ponto de venda* para elevar o valor da cesta:
1.  **"Última Chamada" para Up-selling/Cross-selling:** Treinamento relâmpago e incentivo para que cada atendente foque em oferecer o "segundo item" ou "upgrade" mais relevante. Criar um mini-desafio diário para o time.
2.  **Combos de Conveniência:** Criar combos temáticos de "última hora" com itens de maior valor percebido e margem, comunicados de forma destacada no PDV. Ex: "Leve 2, pague X" ou "Kit Essencial de Fim de Mês".
3.  **Voucher de Retorno:** Para cada compra, oferecer um voucher de desconto nominal para ser usado na primeira semana de Dezembro, incentivando o retorno e já capitalizando para o próximo mês.
A Meta Ouro pode ser uma lição para o futuro, mas o desafio agora é lutar pelo Bronze e reverter a projeção negativa em relação a 2024, maximizando cada interação nos dias finais.
📆 Projeção de fechamento: R$ 279.750,27
🗓️ Dias restantes: 4</t>
  </si>
  <si>
    <t>Atualização Comercial – NOVEMBRO 2025
🔍 *RESUMO*
✔️ Realizado: R$ 231.139,69
📅 Média/dia: R$ 9.245,59
🎫 Ticket médio: R$ 33,45
👥 Atend./dia: 279
🎯 *METAS (vs. OURO)*
Desempenho: 67.61%
Faltam: R$ 110.708,88
(Bronze: R$ 318.067,80 | Prata: R$ 325.499,29 | Ouro: R$ 341.848,57)
📉 *COMPARAÇÕES*
◀️ Média necessária p/ Ouro: R$ 27.677,22
(vs. atual: R$ 9.245,59)
◀️ Novembro/2024: R$ 297.259,63
📈 Variação anual (prev.): -6.69%
💡 *INSIGHT ESTRATÉGICO*
Atingir a meta Ouro nestes 4 dias restantes é um "Everest comercial", exigindo triplicar nossa média diária atual para R$ 27,6k. Mesmo a meta Bronze (que demandaria R$ 21,7k/dia) representa um esforço hercúleo. Diante deste cenário desafiador e da projeção de fechamento abaixo do ano anterior, nosso foco deve ser um *resgate intensivo de valor na ponta*. Com 279 atendimentos diários e um ticket médio de R$ 33,45, a oportunidade está em *elevar o valor de cada transação*. Proponho um "sprint final de valor agregado": capacitar a equipe para *sugestões proativas e obrigatórias* de produtos complementares de maior margem, combos irresistíveis ("leve 3 pague 2") e a criação de "cestas inteligentes" que incentivem compras maiores. O objetivo é maximizar o potencial de cada cliente, aproximando-nos ao máximo da meta Bronze e mitigando a queda frente a 2024.
📆 Projeção de fechamento: R$ 277.367,63
🗓️ Dias restantes: 4</t>
  </si>
  <si>
    <t>Atualização Comercial – NOVEMBRO 2025
🔍 *RESUMO*
✔️ Realizado: R$ 237.570,04
📅 Média/dia: R$ 9.137,31
🎫 Ticket médio: R$ 33,32
👥 Atend./dia: 277
🎯 *METAS (vs. OURO)*
Desempenho: 69.50%
Faltam: R$ 104.278,53
(Bronze: R$ 318.067,80 | Prata: R$ 325.499,29 | Ouro: R$ 341.848,57)
📉 *COMPARAÇÕES*
◀️ Média necessária p/ Ouro: R$ 34.759,51
(vs. atual: R$ 9.137,31)
◀️ Novembro/2024: R$ 297.259,63
📈 Variação anual (prev.): -7.78%
💡 *INSIGHT ESTRATÉGICO*
Diretoria, estamos nos últimos 3 dias de Novembro e o cenário atual exige uma intervenção estratégica imediata. Nossa projeção de fechamento nos coloca abaixo da Meta Bronze e aquém do desempenho do ano anterior. A meta Ouro, em particular, se mostra extremamente desafiadora, demandando um salto diário de R$ 34.759,51 – quase 4x nossa média atual de R$ 9.137,31.
Para este *sprint final*, a prioridade máxima é extrair o valor máximo de cada interação:
1.  **Aceleração do Ticket Médio:** Com um volume de atendimentos robusto (277/dia) mas um ticket médio de R$ 33,32, há um vasto espaço para crescimento. Sugiro o lançamento de *ofertas relâmpago de combos agressivos* ou *upgrades irresistíveis* nos últimos dias para impulsionar o valor por cliente.
2.  **Engajamento da Equipe:** Implementar um *incentivo de venda por objetivo diário* para as equipes, focado em elevar o ticket médio ou atingir metas de faturamento específicas. O foco deve ser na qualidade e valor da venda, não apenas no volume.
3.  **Comunicação Urgente:** Ativar canais de comunicação com clientes para mensagens de "última chance" em produtos estratégicos, criando senso de urgência e valor agregado.
O foco deve ser mitigar a distância para o resultado de 2024 e garantir o melhor fechamento possível, capitalizando o fluxo para aumentar o valor da cesta de compras.
📆 Projeção de fechamento: R$ 274.119,28
🗓️ Dias restantes: 3</t>
  </si>
  <si>
    <t>Atualização Comercial – NOVEMBRO 2025
🔍 *RESUMO*
✔️ Realizado: R$ 246.236,27
📅 Média/dia: R$ 9.119,86
🎫 Ticket médio: R$ 33,26
👥 Atend./dia: 277
🎯 *METAS (vs. OURO)*
Desempenho: 72.03%
Faltam: R$ 95.612,30
(Bronze: R$ 318.067,80 | Prata: R$ 325.499,29 | Ouro: R$ 341.848,57)
📉 *COMPARAÇÕES*
◀️ Média necessária p/ Ouro: R$ 47.806,15
(vs. atual: R$ 9.119,86)
◀️ Novembro/2024: R$ 297.259,63
📈 Variação anual (prev.): -7.96%
💡 *INSIGHT ESTRATÉGICO*
Estamos na reta final de Novembro com apenas dois dias e o desafio é monumental: a média diária necessária para atingir a Meta Ouro é quase 5 vezes nosso desempenho atual. Realistamente, sob as condições de hoje, essa meta está fora de alcance. Além disso, a projeção de fechamento abaixo de 2024 é um alerta que exige atenção imediata.
Para estes últimos 48 horas, o foco deve ser tático e estratégico, não apenas na recuperação de um gap impossível, mas na **maximizar a performance de curto prazo e extrair aprendizados para Dezembro**:
1.  **Operação "Blitz de Conversão":** Desafie as equipes a cada atendimento. Incentivos imediatos para os maiores tickets, combos criativos e upsell agressivo nos itens de maior margem. Cada cliente que entrar precisa sair com mais de um item ou um ticket superior à média.
2.  **Flash Sale "Última Chance":** Uma comunicação digital rápida e focada nas próximas 48 horas, destacando itens estratégicos com uma "última chance" de compra para Novembro. Crie urgência com ofertas que incentivem o volume, mesmo que com margens um pouco apertadas.
3.  **Radar de Desempenho para Dezembro:** Use estes últimos dois dias como um laboratório intensivo. O que funcionou? O que falhou? Precisamos de uma análise profunda imediatamente após o fechamento do mês para entender a variação negativa em relação ao ano anterior e ajustar as velas para um Dezembro que realmente vire o jogo.
Vamos garantir que cada hora desses 2 dias seja aproveitada para bater a projeção atual e, mais importante, pavimentar o caminho para um Dezembro forte, capitalizando sobre os aprendizados de um Novembro desafiador.
📆 Projeção de fechamento: R$ 273.595,86
🗓️ Dias restantes: 2</t>
  </si>
  <si>
    <t>Atualização Comercial – NOVEMBRO 2025
🔍 *RESUMO*
✔️ Realizado: R$ 269.268,49
📅 Média/dia: R$ 9.285,12
🎫 Ticket médio: R$ 33,41
👥 Atend./dia: 281
🎯 *METAS (vs. OURO)*
Desempenho: 78.77%
Faltam: R$ 72.580,08
(Bronze: R$ 318.067,80 | Prata: R$ 325.499,29 | Ouro: R$ 341.848,57)
📉 *COMPARAÇÕES*
◀️ Média necessária p/ Ouro: R$ 0,00
(vs. atual: R$ 9.285,12)
◀️ Novembro/2024: R$ 297.259,63
📈 Variação anual (prev.): -6.29%
💡 *INSIGHT ESTRATÉGICO*
Novembro de 2025 encerrou, e o resultado final de R$ 269.268,49 ficou substancialmente aquém de todas as metas, alcançando apenas 78.77% da Meta Ouro. Mais crítico ainda, fechamos o mês abaixo da nossa própria projeção (R$ 278.553,61) e registramos uma retração de cerca de 9.4% em relação a Novembro de 2024 (R$ 297.259,63), um declínio ainda maior do que o previsto.
Este desempenho final nos indica que precisamos de uma **autópsia comercial completa** de Novembro. É fundamental decifrar os pontos de ruptura que causaram essa defasagem, especialmente a queda em relação à projeção: Houve perda de ímpeto de vendas nas últimas semanas? Nossas campanhas promocionais não se converteram como esperado? Ou identificamos uma mudança no comportamento do consumidor que não soubemos capitalizar?
Com Dezembro, um mês de alto volume e impacto, já em andamento, nosso foco deve ser em:
1.  **Diagnóstico Rápido:** Investigar as transações e o fluxo de atendimentos da reta final de Novembro para entender a perda de performance.
2.  **Otimização de Conversão:** Aprimorar as táticas de vendas e a oferta de produtos para maximizar o ticket médio e a taxa de conversão em Dezembro, com ênfase em cross-selling e bundles de valor.
3.  **Reforço Estratégico:** Garantir que a equipe esteja motivada, alinhada e equipada com os melhores argumentos e promoções para aproveitar ao máximo o potencial do fechamento de Q4.
Precisamos transformar as lições de Novembro em um motor propulsor para um Dezembro verdadeiramente forte.
📆 Projeção de fechamento: R$ 278.553,61
🗓️ Dias restantes: 0</t>
  </si>
  <si>
    <t>Atualização Comercial – DEZEMBRO 2025
🔍 *RESUMO*
✔️ Realizado: R$ 277.156,63
📅 Média/dia: R$ 9.238,55
🎫 Ticket médio: R$ 33,60
👥 Atend./dia: 278
🎯 *METAS (vs. OURO)*
Desempenho: 81.08%
Faltam: R$ 64.691,94
(Bronze: R$ 318.067,80 | Prata: R$ 325.499,29 | Ouro: R$ 341.848,57)
📉 *COMPARAÇÕES*
◀️ Média necessária p/ Ouro: R$ 2.156,40
(vs. atual: R$ 9.238,55)
◀️ Dezembro/2024: R$ 0,00
📈 Variação anual (prev.): +0.00%
💡 *INSIGHT ESTRATÉGICO*
A análise de hoje revela uma dicotomia importante: nossa Média de Venda/Dia (R$ 9.238,55) é um *forte vento a favor*, superando em 4x o necessário para atingir o Ouro (R$ 2.156,40). Isso indica um excelente potencial.
Contudo, a projeção de fechamento do mês (R$ 286.395,18) contraditoriamente nos coloca abaixo da Meta Bronze. Isso sugere que o modelo de projeção pode não estar capturando a performance atual ou prevê uma desaceleração drástica. Considerando que iniciamos a comparação anual do zero (Dez/2024 em R$ 0,00), a construção de um novo baseline robusto é ainda mais estratégica.
**Ação Estratégica:** É crucial capitalizar este momentum. Precisamos entender o que está impulsionando o atual Ticket Médio (R$ 33,60) e o alto volume de atendimentos (278/dia) e replicar isso. Recomendo:
1.  **Auditoria da Projeção:** Validar as premissas por trás da projeção; ela parece subestimar nosso ritmo atual.
2.  **Manutenção do Ritmo:** Focar em manter a consistência do volume de atendimentos e aprimorar o pitch de vendas para sustentar o ticket médio.
3.  **Otimização de Conversão:** Dada a meta de ouro fácil de alcançar com o ritmo atual, o foco deve ser na otimização da conversão e valor por cliente para maximizar a distância da meta.
Temos um "motor" potente funcionando; agora é planejar para que ele rode o mês inteiro e supere a projeção pessimista, estabelecendo um novo e forte benchmark para 2026!
📆 Projeção de fechamento: R$ 286.395,18
🗓️ Dias restantes: 30</t>
  </si>
  <si>
    <t>Atualização Comercial – DEZEMBRO 2025
🔍 *RESUMO*
✔️ Realizado: R$ 8.307,60
📅 Média/dia: R$ 8.307,60
🎫 Ticket médio: R$ 30,77
👥 Atend./dia: 274
🎯 *METAS (vs. OURO)*
Desempenho: 1.88%
Faltam: R$ 433.896,83
(Bronze: R$ 411.442,38 | Prata: R$ 421.055,52 | Ouro: R$ 442.204,43)
📉 *COMPARAÇÕES*
◀️ Média necessária p/ Ouro: R$ 14.961,96
(vs. atual: R$ 8.307,60)
◀️ Dezembro/2024: R$ 384.525,59
📈 Variação anual (prev.): -33.03%
💡 *INSIGHT ESTRATÉGICO*
O pontapé inicial de dezembro nos coloca em um patamar que exige atenção máxima. A média diária necessária para o Ouro é *quase o dobro* do que realizamos hoje, e a projeção de fechamento aponta para um recuo alarmante de 33% em relação ao ano passado – um cenário impensável para o mês mais estratégico.
Precisamos *turbinar imediatamente* o ticket médio e a conversão do fluxo de 274 atendimentos. Sugiro um foco intensivo em: 1) Campanhas "compre e ganhe" ou "leve mais por menos" para elevar o valor da cesta; 2) Treinamento relâmpago em técnicas de upselling e cross-selling; e 3) Revisão do mix de produtos expostos para maximizar vendas de itens de maior valor. Este é o momento de imprimir velocidade e estratégia ao máximo, ou o Natal não será tão dourado quanto planejamos.
📆 Projeção de fechamento: R$ 257.535,60
🗓️ Dias restantes: 29</t>
  </si>
  <si>
    <t>Atualização Comercial – DEZEMBRO 2025
🔍 *RESUMO*
✔️ Realizado: R$ 16.315,41
📅 Média/dia: R$ 8.157,70
🎫 Ticket médio: R$ 31,56
👥 Atend./dia: 261
🎯 *METAS (vs. OURO)*
Desempenho: 3.69%
Faltam: R$ 425.889,02
(Bronze: R$ 411.442,38 | Prata: R$ 421.055,52 | Ouro: R$ 442.204,43)
📉 *COMPARAÇÕES*
◀️ Média necessária p/ Ouro: R$ 15.210,32
(vs. atual: R$ 8.157,70)
◀️ Dezembro/2024: R$ 384.525,59
📈 Variação anual (prev.): -34.23%
💡 *INSIGHT ESTRATÉGICO*
Nosso "termômetro" de vendas para Dezembro aponta para um cenário que exige *recalibragem imediata*. Com a média diária em R$ 8.157,70, estamos a um abismo da meta Ouro, que demanda R$ 15.210,32/dia, e a projeção de fechamento indica uma retração de 34% frente ao ano anterior – algo inaceitável para o período natalino.
O dado mais crítico é o *descompasso entre o alto fluxo de atendimentos (261/dia) e o baixo ticket médio (R$ 31,56)*. Isso sugere que o problema não é a atração de clientes, mas a *capitalização de cada visita*. Estamos perdendo a chance de "engordar o carrinho" de quem já está na loja.
Minha recomendação é focar em uma *abordagem cirúrgica para otimizar o valor do cliente existente*, com ações para ativar nos próximos dias:
1.  **Duplicar o Ticket Médio:** É mais fácil vender mais para quem já está comprando do que atrair novos. Proponho o lançamento imediato de *"Pacotes de Natal Inteligentes"* e ofertas do tipo "Compre o Presente Principal e Leve um Complemento com X% de Desconto".
2.  **Power-Hour de Vendas:** Identificar os horários de maior pico de atendimento e focar a equipe em um *desafio de up-selling/cross-selling intensivo*, com metas de ticket médio por hora para aqueles períodos.
3.  **Visualização da Meta Diária:** Criar um painel visível para a equipe (físico ou digital) que mostre o *ritmo de vendas necessário por hora* para atingir os R$ 15.210,32 diários. Isso transforma uma meta distante em um objetivo palpável a cada período.
Dezembro é o mês em que a oportunidade bate à porta. Não podemos nos dar ao luxo de deixar que ela vá embora com o "carrinho" meio vazio.
📆 Projeção de fechamento: R$ 252.888,86
🗓️ Dias restantes: 28</t>
  </si>
  <si>
    <t>Atualização Comercial – DEZEMBRO 2025
🔍 *RESUMO*
✔️ Realizado: R$ 24.476,17
📅 Média/dia: R$ 8.158,72
🎫 Ticket médio: R$ 31,58
👥 Atend./dia: 261
🎯 *METAS (vs. OURO)*
Desempenho: 5.54%
Faltam: R$ 417.728,26
(Bronze: R$ 411.442,38 | Prata: R$ 421.055,52 | Ouro: R$ 442.204,43)
📉 *COMPARAÇÕES*
◀️ Média necessária p/ Ouro: R$ 15.471,42
(vs. atual: R$ 8.158,72)
◀️ Dezembro/2024: R$ 384.525,59
📈 Variação anual (prev.): -34.23%
💡 *INSIGHT ESTRATÉGICO*
O início de Dezembro nos mostra que estamos em um ritmo preocupante. A média diária atual de R$ 8.158,72 é quase a metade do que precisamos (R$ 15.471,42) para atingir a Meta Ouro. A projeção de fechamento em R$ 252.920,42, se mantida, representará uma queda acentuada de 34.23% em relação a Dezembro/2024. É hora de uma aceleração estratégica. Sugiro uma dupla abordagem: 1) Intensificar o foco em *conversão e valor por atendimento*, explorando combos e ofertas de maior valor agregado para elevar o Ticket Médio de R$ 31,58. 2) Avaliar e otimizar *canais de atração* para impulsionar o volume de atendimentos diários, que hoje está em 261, buscando ampliar nossa base de interação. O varejo de fim de ano exige agilidade e foco cirúrgico.
📆 Projeção de fechamento: R$ 252.920,42
🗓️ Dias restantes: 27</t>
  </si>
  <si>
    <t>Atualização Comercial – DEZEMBRO 2025
🔍 *RESUMO*
✔️ Realizado: R$ 32.131,74
📅 Média/dia: R$ 8.032,93
🎫 Ticket médio: R$ 30,96
👥 Atend./dia: 262
🎯 *METAS (vs. OURO)*
Desempenho: 7.27%
Faltam: R$ 410.072,69
(Bronze: R$ 411.442,38 | Prata: R$ 421.055,52 | Ouro: R$ 442.204,43)
📉 *COMPARAÇÕES*
◀️ Média necessária p/ Ouro: R$ 15.772,03
(vs. atual: R$ 8.032,93)
◀️ Dezembro/2024: R$ 384.525,59
📈 Variação anual (prev.): -35.24%
💡 *INSIGHT ESTRATÉGICO*
Diretoria, o panorama inicial de Dezembro exige um *giro tático imediato*. Nossos primeiros dias mostram uma média diária que mal alcança metade do necessário para a meta Ouro, e a projeção para o mês está alarmantemente 35% abaixo do ano anterior. Isso não é apenas um desvio, é um *freio de mão* no principal mês do varejo.
Para reverter essa trajetória e aproveitar o potencial do período natalino, sugiro focar intensamente na elevação do valor por cliente e na criação de urgência:
1.  **Estratégia "Valor Agregado Já":** Treinar e incentivar a equipe para construir tickets médios significativamente maiores via *kits pré-montados* de Natal e ofertas de *upselling/cross-selling de produtos complementares* que dupliquem o gasto médio atual.
2.  **Ativação Relâmpago de Clientes:** Lançar uma campanha de e-mail/WhatsApp para base de clientes inativos ou com alta frequência para trazê-los de volta com *ofertas exclusivas e por tempo limitado* (ex: "Natal Antecipado com X% OFF").
3.  **Foco em Itens de Alto Ticket:** Redirecionar a equipe para priorizar a venda de produtos de maior valor percebido e maior margem, garantindo que o tempo de atendimento gere mais receita.
A meta não se moverá sozinha; precisamos de uma *aceleração coordenada* para capturar o valor que o mercado de dezembro oferece.
📆 Projeção de fechamento: R$ 249.020,98
🗓️ Dias restantes: 26</t>
  </si>
  <si>
    <t>Atualização Comercial – DEZEMBRO 2025
🔍 *RESUMO*
✔️ Realizado: R$ 40.435,75
📅 Média/dia: R$ 8.087,15
🎫 Ticket médio: R$ 31,39
👥 Atend./dia: 259
🎯 *METAS (vs. OURO)*
Desempenho: 9.14%
Faltam: R$ 401.768,68
(Bronze: R$ 411.442,38 | Prata: R$ 421.055,52 | Ouro: R$ 442.204,43)
📉 *COMPARAÇÕES*
◀️ Média necessária p/ Ouro: R$ 16.070,75
(vs. atual: R$ 8.087,15)
◀️ Dezembro/2024: R$ 384.525,59
📈 Variação anual (prev.): -34.80%
💡 *INSIGHT ESTRATÉGICO*
A largada de dezembro, mês vital, mostra que estamos em ritmo de cruzeiro, mas a meta Ouro exige uma velocidade de sprint (R$ 16.070,75/dia vs. R$ 8.087,15 atual). Mais alarmante: a projeção aponta para uma queda de 34.80% em relação ao Natal do ano passado! Precisamos virar o jogo AGORA, não apenas para bater a meta, mas para assegurar que este dezembro não seja um retrocesso significativo. Sugiro um 'blitz' focada em *intensificar o ticket médio* com ofertas de valor agregado (kits presenteáveis, embalagens premium, upsell ativo em produtos de margem superior) e um *micro-marketing de reativação* para base de clientes inativos, com incentivos de compra por tempo limitado. O relógio corre, e a performance do ano passado é nosso piso, não um teto distante.
📆 Projeção de fechamento: R$ 250.701,65
🗓️ Dias restantes: 25</t>
  </si>
  <si>
    <t>Atualização Comercial – DEZEMBRO 2025
🔍 *RESUMO*
✔️ Realizado: R$ 54.611,91
📅 Média/dia: R$ 9.101,99
🎫 Ticket médio: R$ 32,74
👥 Atend./dia: 280
🎯 *METAS (vs. OURO)*
Desempenho: 12.35%
Faltam: R$ 387.592,52
(Bronze: R$ 411.442,38 | Prata: R$ 421.055,52 | Ouro: R$ 442.204,43)
📉 *COMPARAÇÕES*
◀️ Média necessária p/ Ouro: R$ 16.149,69
(vs. atual: R$ 9.101,99)
◀️ Dezembro/2024: R$ 384.525,59
📈 Variação anual (prev.): -26.62%
💡 *INSIGHT ESTRATÉGICO*
Iniciamos Dezembro com um desempenho que nos coloca em *alerta máximo*. A projeção de fechamento indica um declínio de 26.62% em relação ao ano anterior, um sinal claro de que precisamos de uma guinada estratégica imediata para reverter essa rota. A média diária necessária para o Ouro (R$ 16.149,69) é quase o dobro do nosso ritmo atual (R$ 9.101,99), e com um Ticket Médio de R$ 32,74, apesar de 280 atendimentos/dia, percebemos que *o volume não está se convertendo em valor suficiente*.
Nossa prioridade agora é acender o "turbo" nas vendas de maior valor. Sugiro:
1.  **Foco em Upsell &amp; Cross-sell Estratégico:** Treinamento intensivo para a equipe focar em agregar mais itens ao carrinho ou oferecer versões premium, com incentivos diários para as maiores vendas por atendente.
2.  **Combos de Natal Premium:** Criar ofertas de valor percebido elevado, mas com margem atraente, focando em "soluções de presentes" ao invés de itens avulsos, que elevem o ticket médio significativamente.
3.  **Campanhas de "Valor Agregado":** Desenvolver micro-campanhas segmentadas para categorias de produtos com ticket mais alto, com bônus adicional para a equipe que as movimentar, transformando cada atendimento em uma oportunidade de venda superior.
Precisamos mudar a dinâmica de cada atendimento para que cada cliente contribua mais significativamente para a meta. O tempo é curto, e a janela de oportunidades de dezembro exige máxima proatividade e inteligência comercial.
📆 Projeção de fechamento: R$ 282.161,54
🗓️ Dias restantes: 24</t>
  </si>
  <si>
    <t>Atualização Comercial – DEZEMBRO 2025
🔍 *RESUMO*
✔️ Realizado: R$ 64.598,98
📅 Média/dia: R$ 9.228,43
🎫 Ticket médio: R$ 33,16
👥 Atend./dia: 280
🎯 *METAS (vs. OURO)*
Desempenho: 14.61%
Faltam: R$ 377.605,45
(Bronze: R$ 411.442,38 | Prata: R$ 421.055,52 | Ouro: R$ 442.204,43)
📉 *COMPARAÇÕES*
◀️ Média necessária p/ Ouro: R$ 16.417,63
(vs. atual: R$ 9.228,43)
◀️ Dezembro/2024: R$ 384.525,59
📈 Variação anual (prev.): -25.60%
💡 *INSIGHT ESTRATÉGICO*
Dezembro exige uma guinada estratégica imediata. Nossa média diária atual (R$ 9.228,43) está quase 45% abaixo do que precisamos para buscar a meta Ouro (R$ 16.417,63), representando um "cabo de guerra" difícil de vencer com o ritmo atual. O mais preocupante é a projeção de fechamento, que aponta para uma queda de 25.60% vs. o Dezembro de 2024, um verdadeiro sinal de alerta para o mês de pico. Temos um alto volume de atendimentos (280/dia), mas o baixo ticket médio (R$ 33,16) é o nosso calcanhar de Aquiles.
**Ações Estratégicas e Táticas Urgentes:**
1.  **Turbo no Ticket Médio:** O foco deve ser intensificar o *upselling* e *cross-selling* em cada atendimento. Sugiro criar "bundles" de produtos de Natal (ex: 'Kit Presente Perfeito') ou ofertas condicionais como "compre um item e leve o segundo com 30% de desconto" que incentivem o cliente a aumentar o valor da compra.
2.  **Campanhas de Impulso no PDV:** Lançar "flash sales" ou "ofertas relâmpago" de 2-3 horas em categorias de produtos com boa margem e giro rápido, comunicadas com destaque no ponto de venda para gerar urgência e volume extra.
3.  **Revisão de Metas Diárias e Incentivos:** Desdobrar a meta diária necessária por vendedor e atrelar bônus a um ticket médio superior à média atual da loja, estimulando a equipe a ser mais propositiva na venda.
É crucial que transformemos nosso fluxo de clientes em um faturamento por atendimento muito mais robusto para reverter a tendência negativa e buscar as metas.
📆 Projeção de fechamento: R$ 286.081,20
🗓️ Dias restantes: 23</t>
  </si>
  <si>
    <t>Atualização Comercial – DEZEMBRO 2025
🔍 *RESUMO*
✔️ Realizado: R$ 72.001,62
📅 Média/dia: R$ 9.000,20
🎫 Ticket médio: R$ 32,71
👥 Atend./dia: 278
🎯 *METAS (vs. OURO)*
Desempenho: 16.28%
Faltam: R$ 370.202,81
(Bronze: R$ 411.442,38 | Prata: R$ 421.055,52 | Ouro: R$ 442.204,43)
📉 *COMPARAÇÕES*
◀️ Média necessária p/ Ouro: R$ 16.827,40
(vs. atual: R$ 9.000,20)
◀️ Dezembro/2024: R$ 384.525,59
📈 Variação anual (prev.): -27.44%
💡 *INSIGHT ESTRATÉGICO*
O pulso do mês aponta para uma lacuna crítica entre o potencial e a performance real. Embora tenhamos um fluxo consistente de atendimentos diários, o *valor monetário que cada interação gera* está muito aquém do necessário. Com um Ticket Médio de R$ 32,71, estamos deixando quase R$ 8 mil por dia na mesa para sequer vislumbrar a Meta Ouro. A projeção de um declínio de 27.44% em relação ao último dezembro é um forte indicador de que a magia natalina ainda não engajou.
Precisamos virar a chave e *otimizar a cada venda*:
1.  **"Cesta Recheada":** Treinamento intensivo para a equipe em técnicas de persuasão e recomendação de produtos complementares ou de maior valor. Focar em apresentar "a solução completa" ou "o presente ideal" com itens adicionais.
2.  **"Escada de Valor":** Criar *imediatamente* ofertas escalonadas ou "tiers" de produtos (ex: "Kit Natal Básico", "Kit Natal Premium", "Kit Natal Exclusivo") que incentivem o cliente a subir no patamar de valor da compra.
3.  **"Produto Ímã de Ticket Alto":** Identificar e dar destaque máximo a 2-3 produtos de maior valor agregado, posicionando-os como itens-chave para presentes ou auto-recompensa, e recompensar a equipe que conseguir vendê-los com consistência.
📆 Projeção de fechamento: R$ 279.006,28
🗓️ Dias restantes: 22</t>
  </si>
  <si>
    <t>Atualização Comercial – DEZEMBRO 2025
🔍 *RESUMO*
✔️ Realizado: R$ 78.798,62
📅 Média/dia: R$ 8.755,40
🎫 Ticket médio: R$ 32,56
👥 Atend./dia: 271
🎯 *METAS (vs. OURO)*
Desempenho: 17.82%
Faltam: R$ 363.405,81
(Bronze: R$ 411.442,38 | Prata: R$ 421.055,52 | Ouro: R$ 442.204,43)
📉 *COMPARAÇÕES*
◀️ Média necessária p/ Ouro: R$ 17.305,04
(vs. atual: R$ 8.755,40)
◀️ Dezembro/2024: R$ 384.525,59
📈 Variação anual (prev.): -29.41%
💡 *INSIGHT ESTRATÉGICO*
Estamos numa encruzilhada crucial em Dezembro. A projeção de fechamento ~30% abaixo do ano anterior é um sinal vermelho, especialmente considerando o potencial de vendas do mês. A média diária necessária para o Ouro (R$ 17.305) é quase o dobro da atual (R$ 8.755). Não estamos apenas correndo atrás, estamos em um sprint que exige uma mudança tática imediata, focando em transformar cada atendimento em uma oportunidade de maior valor.
Sugiro uma 'Operação Valor Máximo' para os próximos dias:
1.  **Alavancar o Ticket Médio por Cliente:** Implementar um desafio interno focado em 'up-selling' e 'cross-selling' de alto impacto, com metas claras por colaborador para aumentar o valor de cada carrinho. Por exemplo, incentivar a venda de um segundo item ou de uma categoria de maior valor ao invés de apenas focar no volume de vendas.
2.  **Pacotes Exclusivos de Natal 'Last Call':** Criar ofertas imperdíveis e com validade super curta (ex: 72h) de kits ou produtos de alto valor agregado, posicionando-os como a solução perfeita de última hora para presentes natalinos. Isso estimula a compra de maior volume e valor por impulso nos dias mais próximos ao Natal.
Precisamos mudar o vetor de forma agressiva para fechar o ano com a performance que esperamos.
📆 Projeção de fechamento: R$ 271.417,47
🗓️ Dias restantes: 21</t>
  </si>
  <si>
    <t>Atualização Comercial – DEZEMBRO 2025
🔍 *RESUMO*
✔️ Realizado: R$ 86.790,55
📅 Média/dia: R$ 8.679,06
🎫 Ticket médio: R$ 32,65
👥 Atend./dia: 268
🎯 *METAS (vs. OURO)*
Desempenho: 19.63%
Faltam: R$ 355.413,88
(Bronze: R$ 411.442,38 | Prata: R$ 421.055,52 | Ouro: R$ 442.204,43)
📉 *COMPARAÇÕES*
◀️ Média necessária p/ Ouro: R$ 17.770,69
(vs. atual: R$ 8.679,06)
◀️ Dezembro/2024: R$ 384.525,59
📈 Variação anual (prev.): -30.03%
💡 *INSIGHT ESTRATÉGICO*
O cenário atual acende um forte alerta: estamos projetando um dezembro 30% abaixo do ano anterior, com um ritmo diário que é menos da metade do necessário para sequer mirar na Meta Ouro. É como ter um motor potente, mas andar em primeira marcha durante a alta temporada.
Nosso volume de atendimento (268/dia) é promissor, mas o Ticket Médio de R$ 32,65 claramente não está sendo suficiente para converter esse tráfego em receita robusta. A chave para virar esse jogo está em **acelerar o valor de cada transação**.
Sugiro ação imediata com foco cirúrgico no Ticket Médio:
1.  **Ofertas de Valor Adicionado (Bundles):** Desenvolva "Kits de Presente Inteligentes" ou "Combos Natalinos" que agrupem produtos complementares com um preço atrativo, incentivando o cliente a gastar mais em uma única compra. Ex: "Compre o item A e leve o B com X% de desconto".
2.  **Desafio de Cross-selling/Up-selling:** Revitalize a equipe com um desafio de 7 dias focado exclusivamente em elevar o Ticket Médio, utilizando técnicas de cross-selling (venda cruzada) e up-selling (venda de item superior). Forneça scripts e produtos-chave para cada vendedor.
3.  **Comunicação de Urgência em Loja:** Utilize displays visuais e sinalização que destaquem as ofertas de maior valor e os combos, tornando-os o foco principal da atenção do cliente ao entrar.
Ainda temos tempo para reverter essa projeção e capitalizar o potencial de dezembro, mas a virada precisa começar a ser executada **hoje** com foco estratégico e disciplina.
📆 Projeção de fechamento: R$ 269.050,71
🗓️ Dias restantes: 20</t>
  </si>
  <si>
    <t>Atualização Comercial – DEZEMBRO 2025
🔍 *RESUMO*
✔️ Realizado: R$ 95.742,23
📅 Média/dia: R$ 8.703,84
🎫 Ticket médio: R$ 32,71
👥 Atend./dia: 268
🎯 *METAS (vs. OURO)*
Desempenho: 21.65%
Faltam: R$ 346.462,20
(Bronze: R$ 411.442,38 | Prata: R$ 421.055,52 | Ouro: R$ 442.204,43)
📉 *COMPARAÇÕES*
◀️ Média necessária p/ Ouro: R$ 18.234,85
(vs. atual: R$ 8.703,84)
◀️ Dezembro/2024: R$ 384.525,59
📈 Variação anual (prev.): -29.83%
💡 *INSIGHT ESTRATÉGICO*
Nossa embarcação comercial, embora navegando, precisa de um turbo imediato. A distância para a Meta Ouro está se alargando perigosamente, exigindo um salto de mais de 100% na média diária de vendas para os dias restantes. Projetamos um fechamento quase 30% abaixo do ano anterior, indicando que o mar está mais revolto do que o esperado. Precisamos de ações táticas e rápidas:
1.  **Intensificar o 'Carrinho Premium':** Treinar a equipe para ofertas de upsell/cross-sell agressivas e estratégias de 'levar mais' para elevar nosso Ticket Médio, que hoje está estável.
2.  **'Acelera Black Friday':** Replicar com urgência campanhas de impulso de vendas de alto impacto para os próximos 5 dias, focando em produtos-chave com margem saudável.
3.  **Caça aos 'Atendimentos Perdidos':** Revisar taxas de conversão. Com 268 atendimentos/dia, há um vasto potencial inexplorado. Cada atendimento deve ser uma oportunidade de venda maximizada.
O tempo é crucial para evitar que essa projeção se concretize.
📆 Projeção de fechamento: R$ 269.819,01
🗓️ Dias restantes: 19</t>
  </si>
  <si>
    <t>Atualização Comercial – DEZEMBRO 2025
🔍 *RESUMO*
✔️ Realizado: R$ 105.091,42
📅 Média/dia: R$ 8.757,62
🎫 Ticket médio: R$ 33,02
👥 Atend./dia: 267
🎯 *METAS (vs. OURO)*
Desempenho: 23.77%
Faltam: R$ 337.113,01
(Bronze: R$ 411.442,38 | Prata: R$ 421.055,52 | Ouro: R$ 442.204,43)
📉 *COMPARAÇÕES*
◀️ Média necessária p/ Ouro: R$ 18.728,50
(vs. atual: R$ 8.757,62)
◀️ Dezembro/2024: R$ 384.525,59
📈 Variação anual (prev.): -29.40%
💡 *INSIGHT ESTRATÉGICO*
Estamos navegando em águas desafiadoras este Dezembro. A projeção atual nos coloca quase 30% abaixo do ano anterior, com a média diária de vendas precisando mais do que dobrar para sequer sonharmos com a Meta Ouro. É um momento de **inflexão estratégica**, onde a inércia nos levará a um resultado aquém do potencial de um mês tão crucial.
Precisamos de uma **virada tática imediata** focada em:
1.  **Agressividade no Ticket Médio:** Com um TM de R$ 33,02, há um vasto campo para ação. Lançar combos imperdíveis de "Natal Acelerado" ou ofertas "Leve Mais, Pague Menos" para impulsionar o valor por atendimento. O objetivo é fazer cada cliente gastar R$ 50, R$ 70, não R$ 33.
2.  **Micro Campanhas de Urgência:** Ativar mini-campanhas segmentadas (ex: via WhatsApp/SMS para base de clientes) com promoções-relâmpago e tempo limitado, focando em categorias de alta margem ou com maior potencial de giro para os próximos dias.
3.  **Engajamento de Performance:** Criar um "Desafio Diário Ouro" para a equipe de vendas, com incentivos progressivos para cada patamar atingido acima da média, focando em upsell e cross-sell. É hora de despertar o espírito competitivo e a ambição por resultados.
Não podemos esperar que o mercado reaja sozinho. Precisamos ser o catalisador dessa virada com ações cirúrgicas e de alto impacto nos próximos 18 dias.
📆 Projeção de fechamento: R$ 271.486,17
🗓️ Dias restantes: 18</t>
  </si>
  <si>
    <t>Atualização Comercial – DEZEMBRO 2025
🔍 *RESUMO*
✔️ Realizado: R$ 120.394,72
📅 Média/dia: R$ 9.261,13
🎫 Ticket médio: R$ 33,77
👥 Atend./dia: 277
🎯 *METAS (vs. OURO)*
Desempenho: 27.23%
Faltam: R$ 321.809,71
(Bronze: R$ 411.442,38 | Prata: R$ 421.055,52 | Ouro: R$ 442.204,43)
📉 *COMPARAÇÕES*
◀️ Média necessária p/ Ouro: R$ 18.929,98
(vs. atual: R$ 9.261,13)
◀️ Dezembro/2024: R$ 384.525,59
📈 Variação anual (prev.): -25.34%
💡 *INSIGHT ESTRATÉGICO*
Diretoria, os números de hoje acendem um alerta claro: estamos em rota de colisão com uma subperformance significativa. Com a projeção de um declínio de 25% em relação a Dezembro do ano passado e nossa média diária a menos da metade do que precisamos para atingir a meta Ouro, é crucial virarmos o jogo nos 17 dias restantes. O gargalo é evidente: apesar de um bom volume de atendimentos (277/dia), o ticket médio de R$ 33,77 está puxando nossos resultados para baixo.
**É hora de acender o turbocarga nas vendas:**
1.  **Foco em Basket Size:** Lançar um desafio "Upgrade Natalino" para a equipe, incentivando agressivamente a venda de produtos complementares ou de maior valor agregado (ex: 'Leve X e ganhe Y%', 'Adicione Z e seu desconto aumenta').
2.  **Incentivos Blitz:** Criar um bônus de performance diário para o time que atingir o maior ticket médio individual ou de loja, gerando um senso de urgência e competição saudável.
3.  **Análise Rápida:** Rever quais categorias de produtos estão com menor saída e criar ofertas irresistíveis para desová-las, ou identificar best-sellers que podem ser facilmente 'comboados'.
Precisamos transformar nosso tráfego em receita de alto impacto, elevando o valor de cada carrinho e buscando reverter essa projeção negativa com ações cirúrgicas e motivadoras.
📆 Projeção de fechamento: R$ 287.095,10
🗓️ Dias restantes: 17</t>
  </si>
  <si>
    <t>Atualização Comercial – DEZEMBRO 2025
🔍 *RESUMO*
✔️ Realizado: R$ 129.863,88
📅 Média/dia: R$ 9.275,99
🎫 Ticket médio: R$ 33,80
👥 Atend./dia: 277
🎯 *METAS (vs. OURO)*
Desempenho: 29.37%
Faltam: R$ 312.340,55
(Bronze: R$ 411.442,38 | Prata: R$ 421.055,52 | Ouro: R$ 442.204,43)
📉 *COMPARAÇÕES*
◀️ Média necessária p/ Ouro: R$ 19.521,28
(vs. atual: R$ 9.275,99)
◀️ Dezembro/2024: R$ 384.525,59
📈 Variação anual (prev.): -25.22%
💡 *INSIGHT ESTRATÉGICO*
Diretoria, o radar de hoje aponta um cenário de **subaproveitamento do nosso "tráfego"**. Com uma média diária de 277 atendimentos, temos um fluxo consistente, porém nosso Ticket Médio de R$ 33,80 é o elo fraco da corrente. Estamos vendendo, mas não estamos maximizando o valor de cada interação. A necessidade de duplicar nossa média diária para o Ouro (R$ 19.521,28 vs. R$ 9.275,99) e a projeção de -25,22% em relação a Dezembro/24 indicam que precisamos **despertar o potencial de compra adormecido** em cada cliente.
Minha recomendação é focar em **engrossar a cesta de compras** nos próximos 16 dias:
1.  **"Upgrade Instantâneo":** Capacitar e incentivar a equipe a oferecer upgrades de produtos ou complementos de maior valor em cada atendimento, focando em benefícios claros para o cliente.
2.  **Combos Inteligentes de Fim de Ano:** Criar kits promocionais temáticos que agreguem valor percebido e elevem o ticket, aproveitando a urgência das compras natalinas. Ex: "Pacote Família", "Kit Presente Completo".
3.  **Metas de Ticket Médio:** Implementar um desafio diário ou semanal para as equipes de vendas com foco exclusivo no aumento do Ticket Médio, com bonificação agressiva sobre o incremento.
Não precisamos apenas mais clientes, precisamos que cada cliente atual compre mais. É a hora de transformar volume de atendimentos em valor real.
📆 Projeção de fechamento: R$ 287.555,73
🗓️ Dias restantes: 16</t>
  </si>
  <si>
    <t>Atualização Comercial – DEZEMBRO 2025
🔍 *RESUMO*
✔️ Realizado: R$ 147.784,00
📅 Média/dia: R$ 9.236,50
🎫 Ticket médio: R$ 33,91
👥 Atend./dia: 275
🎯 *METAS (vs. OURO)*
Desempenho: 33.42%
Faltam: R$ 294.420,43
(Bronze: R$ 411.442,38 | Prata: R$ 421.055,52 | Ouro: R$ 442.204,43)
📉 *COMPARAÇÕES*
◀️ Média necessária p/ Ouro: R$ 21.030,03
(vs. atual: R$ 9.236,50)
◀️ Dezembro/2024: R$ 384.525,59
📈 Variação anual (prev.): -25.54%
💡 *INSIGHT ESTRATÉGICO*
Nosso dezembro exige um despertar imediato. A performance atual nos deixa com um abismo de R$ 21.030,03/dia para alcançar o Ouro, mais que o dobro da nossa média. A projeção de fechamento 25.54% abaixo do ano anterior é um sinal de alerta em um mês de pico.
Apesar do desafio, a alta média de 275 atendimentos diários com ticket médio de R$ 33,91 revela uma "mina de ouro" inexplorada. Nosso foco para os próximos 14 dias deve ser a **maximização do valor por cliente**. Proponho uma **Blitz de Valor Agregado**:
1.  **Kits &amp; Combos Natalinos de Saída Rápida:** Criar pacotes irresistíveis de última hora com produtos complementares, promovendo o aumento do ticket médio sem esforço extra de captação de clientes.
2.  **Desafio "Upgrade Instantâneo":** Incentivar a equipe de vendas a oferecer um segundo ou terceiro item de maior valor em cada atendimento, com um pequeno bônus por cada "upgrade" bem-sucedido.
3.  **Exposição Estratégica de Impulso:** Posicionar produtos de baixo custo e alta margem perto do caixa ou em corredores de alto tráfego para estimular a compra por impulso e complementar a venda principal.
Precisamos de uma virada tática para transformar cada atendimento em uma oportunidade robusta de receita, resgatando a performance deste mês crucial.
📆 Projeção de fechamento: R$ 286.331,50
🗓️ Dias restantes: 14</t>
  </si>
  <si>
    <t>Atualização Comercial – DEZEMBRO 2025
🔍 *RESUMO*
✔️ Realizado: R$ 156.947,41
📅 Média/dia: R$ 9.232,20
🎫 Ticket médio: R$ 34,06
👥 Atend./dia: 273
🎯 *METAS (vs. OURO)*
Desempenho: 35.49%
Faltam: R$ 285.257,02
(Bronze: R$ 411.442,38 | Prata: R$ 421.055,52 | Ouro: R$ 442.204,43)
📉 *COMPARAÇÕES*
◀️ Média necessária p/ Ouro: R$ 21.942,85
(vs. atual: R$ 9.232,20)
◀️ Dezembro/2024: R$ 384.525,59
📈 Variação anual (prev.): -25.57%
💡 *INSIGHT ESTRATÉGICO*
Dezembro está em uma **trajetória de sub-performance crítica**, projetando uma queda de 25% frente ao ano anterior. A disparidade entre nossa média diária atual (R$ 9,2 mil) e a necessária para atingir a meta Ouro (R$ 21,9 mil) é insustentável sem uma intervenção imediata e disruptiva. Temos um alto volume de atendimentos (273/dia), mas o ticket médio de R$ 34,06 indica que estamos falhando em monetizar essa base. É como um reservatório cheio que vaza por múltiplos pontos. Sugiro uma **"blitz de valor" nas próximas 48 horas**: 1. Foco em estratégias de "basket building" (aumento de itens por compra) e não apenas upselling, via promoções de "leve mais por menos" com alta percepção de valor. 2. Revisão imediata dos produtos de saída rápida para cross-selling no PDV. 3. Incentivo e treinamento rápido para a equipe sobre como otimizar cada atendimento, transformando o volume em valor antes que a oportunidade da quinzena final de dezembro se esgote.
📆 Projeção de fechamento: R$ 286.198,22
🗓️ Dias restantes: 13</t>
  </si>
  <si>
    <t>Atualização Comercial – DEZEMBRO 2025
🔍 *RESUMO*
✔️ Realizado: R$ 168.141,94
📅 Média/dia: R$ 9.341,22
🎫 Ticket médio: R$ 34,34
👥 Atend./dia: 274
🎯 *METAS (vs. OURO)*
Desempenho: 38.02%
Faltam: R$ 274.062,49
(Bronze: R$ 411.442,38 | Prata: R$ 421.055,52 | Ouro: R$ 442.204,43)
📉 *COMPARAÇÕES*
◀️ Média necessária p/ Ouro: R$ 22.838,54
(vs. atual: R$ 9.341,22)
◀️ Dezembro/2024: R$ 384.525,59
📈 Variação anual (prev.): -24.69%
💡 *INSIGHT ESTRATÉGICO*
Estamos na reta final de Dezembro e precisamos de uma *mudança drástica de marcha*. A média diária atual alcança apenas 40% do necessário para a Meta Ouro, e a projeção de fechamento aponta para um desempenho 25% abaixo do ano anterior. Não há tempo para ajustes incrementais. Minha recomendação é acionar o 'modo ultra-performance' focando em **multiplicar o valor de cada interação**. Proponho uma ofensiva com *packs de presentes temáticos de alto valor agregado* para aumentar o ticket médio na hora da compra e um *desafio diário para a equipe* focado na venda de produtos complementares (cross-selling agressivo). O objetivo é transformar cada atendimento em uma venda com o dobro do potencial, ativando um "efeito cascata" que pode reverter essa projeção nos 12 dias cruciais que nos restam.
📆 Projeção de fechamento: R$ 289.577,79
🗓️ Dias restantes: 12</t>
  </si>
  <si>
    <t>Atualização Comercial – DEZEMBRO 2025
🔍 *RESUMO*
✔️ Realizado: R$ 168.141,94
📅 Média/dia: R$ 9.341,22
🎫 Ticket médio: R$ 34,34
👥 Atend./dia: 274
🎯 *METAS (vs. OURO)*
Desempenho: 38.02%
Faltam: R$ 274.062,49
(Bronze: R$ 411.442,38 | Prata: R$ 421.055,52 | Ouro: R$ 442.204,43)
📉 *COMPARAÇÕES*
◀️ Média necessária p/ Ouro: R$ 22.838,54
(vs. atual: R$ 9.341,22)
◀️ Dezembro/2024: R$ 384.525,59
📈 Variação anual (prev.): -24.69%
💡 *INSIGHT ESTRATÉGICO*
A leitura dos dados é um sinal de alerta claro: estamos muito abaixo da expectativa para o fechamento de Dezembro, com uma projeção de -24.69% vs. ano anterior e uma média diária necessária para o Ouro (R$ 22.838,54) que é mais que o dobro da atual. Precisamos de um *salto quântico* nos próximos 12 dias.
Minha recomendação urgente é um ataque multifacetado para maximizar cada interação:
1.  **'Turbo-Charge' no Ticket Médio:** Com 274 atendimentos/dia e TM de R$ 34,34, há uma mina de ouro inexplorada. Lançar combos temáticos de Natal ou promoções de "leve 2, pague X" para itens complementares (ex: presente + embalagem + cartão) é vital. Treinamento relâmpago focado em vendas agregadas e no valor percebido de "soluções de presentes". Nosso objetivo é elevar o Ticket Médio para, no mínimo, R$ 50 imediatamente.
2.  **Micro-Segmentação de Campanhas:** Utilizar nossa base de clientes com histórico de compras acima da média em Dezembro passado. Um SMS ou WhatsApp marketing com ofertas exclusivas e personalizadas para reativá-los com urgência, aproveitando a pressão de "última chance para o Natal".
A janela de oportunidade é mínima, mas o potencial de inércia para as vendas de final de ano ainda existe. Ações agressivas e monitoramento diário são a chave para mitigar o déficit e buscar, no mínimo, a Meta Prata.
📆 Projeção de fechamento: R$ 289.577,79
🗓️ Dias restantes: 12</t>
  </si>
  <si>
    <t>Atualização Comercial – DEZEMBRO 2025
🔍 *RESUMO*
✔️ Realizado: R$ 181.427,39
📅 Média/dia: R$ 9.548,81
🎫 Ticket médio: R$ 34,98
👥 Atend./dia: 275
🎯 *METAS (vs. OURO)*
Desempenho: 41.03%
Faltam: R$ 260.777,04
(Bronze: R$ 411.442,38 | Prata: R$ 421.055,52 | Ouro: R$ 442.204,43)
📉 *COMPARAÇÕES*
◀️ Média necessária p/ Ouro: R$ 23.707,00
(vs. atual: R$ 9.548,81)
◀️ Dezembro/2024: R$ 384.525,59
📈 Variação anual (prev.): -23.02%
💡 *INSIGHT ESTRATÉGICO*
Estamos navegando contra uma forte correnteza neste Dezembro. Com apenas 11 dias restantes, a meta Ouro exige um desempenho diário quase 2.5x superior ao atual, e nossa projeção anual aponta uma retração significativa de -23% comparado ao ano anterior, um sinal de alerta máximo para a época mais forte do varejo.
**Recomendação para um "Resgate de Natal":** É imperativo um movimento estratégico agora para otimizar os dias finais:
1.  **Maximização do Ticket Médio:** Implementar agressivamente ofertas de "compre e leve" ou "adicione um item por + R$X" no checkout, com foco em produtos de impulso e presentes. O time deve ter metas diárias claras para o ticket médio.
2.  **Campanha Relâmpago de Engajamento:** Acionar nossa base de clientes leais com uma promoção exclusiva via WhatsApp/e-mail válida por 48h, focando em combos de valor ou descontos progressivos para incentivar a compra de último minuto e aumentar o fluxo qualificado.
3.  **Foco na Vitrine Digital e Física:** Destacar visualmente e nas comunicações os itens de maior valor agregado ou margem, incentivando o cross-selling para elevar o valor de cada atendimento.
A janela para reverter este cenário está se fechando; a execução rápida e coordenada é fundamental.
📆 Projeção de fechamento: R$ 296.013,11
🗓️ Dias restantes: 11</t>
  </si>
  <si>
    <t>Atualização Comercial – DEZEMBRO 2025
🔍 *RESUMO*
✔️ Realizado: R$ 181.427,39
📅 Média/dia: R$ 9.548,81
🎫 Ticket médio: R$ 34,98
👥 Atend./dia: 275
🎯 *METAS (vs. OURO)*
Desempenho: 41.03%
Faltam: R$ 260.777,04
(Bronze: R$ 411.442,38 | Prata: R$ 421.055,52 | Ouro: R$ 442.204,43)
📉 *COMPARAÇÕES*
◀️ Média necessária p/ Ouro: R$ 23.707,00
(vs. atual: R$ 9.548,81)
◀️ Dezembro/2024: R$ 384.525,59
📈 Variação anual (prev.): -23.02%
💡 *INSIGHT ESTRATÉGICO*
Estamos na reta final de Dezembro e os dados acendem um alerta crítico. Atingimos apenas 41% da Meta Ouro, e a projeção de fechamento indica uma performance 23% abaixo do ano anterior. O gap para a Meta Ouro é enorme, exigindo que tripliquemos nossa média diária atual (R$ 9.548,81 para R$ 23.707,00) nos 11 dias restantes.
O ponto positivo é o volume de atendimentos (275/dia), que demonstra fluxo. O calcanhar de Aquiles é o ticket médio baixo (R$ 34,98). É hora de **acelerar o pulso do negócio e extrair mais valor de cada cliente**.
**Recomendações para os próximos 11 dias:**
1.  **Maratona de Tícket Médio:** Implementar um "desafio de 72h" focado em combos e kits pré-montados de alto valor, com metas de ticket médio individual para a equipe e bônus progressivos por superação.
2.  **Ofertas Relâmpago "Fim de Ano":** Criar campanhas de curta duração e alta atratividade, focando em produtos com maior margem ou itens complementares, comunicando forte senso de urgência ("Últimos Dias para Garantir o Natal Perfeito").
3.  **Vendas Ativas no Caixa:** Treinar a equipe de caixa para oferecer um item complementar de baixo custo e alto valor percebido (ex: "leva um, ganha o segundo com 50% de desconto") a cada transação, aproveitando o momento final da compra.
Precisamos mudar a narrativa do mês transformando o alto fluxo em faturamento substancial, capitalizando intensamente os dias pré-Natal.
📆 Projeção de fechamento: R$ 296.013,11
🗓️ Dias restantes: 11</t>
  </si>
  <si>
    <t>Atualização Comercial – DEZEMBRO 2025
🔍 *RESUMO*
✔️ Realizado: R$ 196.498,76
📅 Média/dia: R$ 9.824,94
🎫 Ticket médio: R$ 35,34
👥 Atend./dia: 280
🎯 *METAS (vs. OURO)*
Desempenho: 44.44%
Faltam: R$ 245.705,67
(Bronze: R$ 411.442,38 | Prata: R$ 421.055,52 | Ouro: R$ 442.204,43)
📉 *COMPARAÇÕES*
◀️ Média necessária p/ Ouro: R$ 24.570,57
(vs. atual: R$ 9.824,94)
◀️ Dezembro/2024: R$ 384.525,59
📈 Variação anual (prev.): -20.79%
💡 *INSIGHT ESTRATÉGICO*
⚠️ O desempenho em dezembro acende um sinal de alerta. A projeção de fechamento em R$ 304k nos coloca distantes de todas as metas, e a queda de 20.79% em relação ao ano anterior para um mês tão estratégico é preocupante. Para sequer sonharmos com o Ouro, precisamos vender R$ 24.570/dia, mais que o dobro da média atual.
A estratégia atual é insuficiente. Nos próximos 10 dias, precisamos de um *choque de vendas*:
1.  **Foco Total no Ticket Médio:** Implementar imediatamente ações de *bundle* (pacotes de produtos) e descontos progressivos (ex: "Leve 2, Ganhe X% no 3º") que elevem o valor de cada transação. Treinar a equipe para um *upsell* e *cross-sell* agressivo, com bônus por TM elevado.
2.  **Reativação Relâmpago:** Ativar nossa base de clientes com uma oferta *flash* exclusiva via digital (SMS/WhatsApp) para compras com retirada na loja ou delivery rápido, gerando tráfego qualificado e conversão imediata.
Não há tempo para ajustes pequenos; precisamos de um salto quântico no engajamento e no valor de cada venda.
📆 Projeção de fechamento: R$ 304.573,08
🗓️ Dias restantes: 10</t>
  </si>
  <si>
    <t>Atualização Comercial – DEZEMBRO 2025
🔍 *RESUMO*
✔️ Realizado: R$ 229.714,26
📅 Média/dia: R$ 9.987,58
🎫 Ticket médio: R$ 35,84
👥 Atend./dia: 281
🎯 *METAS (vs. OURO)*
Desempenho: 51.95%
Faltam: R$ 212.490,17
(Bronze: R$ 411.442,38 | Prata: R$ 421.055,52 | Ouro: R$ 442.204,43)
📉 *COMPARAÇÕES*
◀️ Média necessária p/ Ouro: R$ 30.355,74
(vs. atual: R$ 9.987,58)
◀️ Dezembro/2024: R$ 384.525,59
📈 Variação anual (prev.): -19.48%
💡 *INSIGHT ESTRATÉGICO*
A performance atual nos coloca em um cenário de **subida íngreme** para atingir a Meta Ouro, exigindo uma média diária que quase triplica nosso ritmo atual. Além disso, a projeção de fechamento aponta para uma **retração de quase 20%** em comparação com o ano anterior em um mês estratégico como Dezembro. Com apenas 7 dias, a virada de jogo exige **intervenções cirúrgicas e de alto impacto**:
1.  **Foco absoluto em 'engorda' de ticket médio**: Urgente treinar e incentivar a equipe de vendas para elevar o valor da cesta. Cada cliente que passa pela porta precisa ter o valor de sua compra duplicado através de complementos e produtos de maior valor agregado, mirando um ticket de, no mínimo, R$ 70.
2.  **'Queima' relâmpago estratégica**: Lançar ofertas-chave por tempo ultra-limitado (poucas horas) em produtos de alto giro ou de valor percebido, divulgadas intensivamente em canais digitais para gerar 'corredores' de vendas rápidas e picos de receita.
3.  **Caça aos 'esquecidos' VIP**: Mapear e contatar proativamente clientes de alto valor ou com histórico de compras significativas via canais diretos (WhatsApp, SMS), com uma oferta exclusiva e personalizada para a 'última chance' de compras de Natal, focando em itens de maior margem.
📆 Projeção de fechamento: R$ 309.614,87
🗓️ Dias restantes: 7</t>
  </si>
  <si>
    <t>Atualização Comercial – DEZEMBRO 2025
🔍 *RESUMO*
✔️ Realizado: R$ 273.107,99
📅 Média/dia: R$ 11.379,50
🎫 Ticket médio: R$ 38,29
👥 Atend./dia: 299
🎯 *METAS (vs. OURO)*
Desempenho: 61.76%
Faltam: R$ 169.096,44
(Bronze: R$ 411.442,38 | Prata: R$ 421.055,52 | Ouro: R$ 442.204,43)
📉 *COMPARAÇÕES*
◀️ Média necessária p/ Ouro: R$ 28.182,74
(vs. atual: R$ 11.379,50)
◀️ Dezembro/2024: R$ 384.525,59
📈 Variação anual (prev.): -8.26%
💡 *INSIGHT ESTRATÉGICO*
A reta final de Dezembro nos pede um sprint de alta performance. Com apenas 6 dias para o fechamento, a meta Ouro exige uma média diária de R$ 28.182,74 — quase o triplo do nosso ritmo atual de R$ 11.379,50. A projeção de fechar 8.26% abaixo do ano anterior é um sinal claro de que precisamos virar o jogo e capitalizar a demanda de fim de ano que se intensifica.
A boa notícia? Nosso volume de quase 300 atendimentos/dia é robusto! O gargalo não é o fluxo de clientes, mas o valor extraído por ele, evidenciado pelo ticket médio de R$ 38,29.
*Recomendação:* Foco máximo no que chamo de "Blitz de Oportunidades".
1.  **Elevando o Ticket Médio:** Capacitar e incentivar as equipes para vendas assistidas de *combos e produtos complementares natalinos de alto valor*. Cada atendimento deve ser uma chance de dobrar o valor da cesta. Ex: Sugerir “presente + acessório” ou “compre o principal e leve um item complementar com 30% de desconto”.
2.  **Conversão Turbo:** Lançar *promoções relâmpago de 24h ou 48h* em categorias estratégicas, com margem controlada, criando senso de urgência e atratividade para converter os atendimentos em vendas de maior valor.
É o momento de converter cada visita em uma venda de alto valor, virando o placar antes do apito final.
📆 Projeção de fechamento: R$ 352.764,49
🗓️ Dias restantes: 6</t>
  </si>
  <si>
    <t>Atualização Comercial – DEZEMBRO 2025
🔍 *RESUMO*
✔️ Realizado: R$ 273.107,99
📅 Média/dia: R$ 11.379,50
🎫 Ticket médio: R$ 38,29
👥 Atend./dia: 299
🎯 *METAS (vs. OURO)*
Desempenho: 61.76%
Faltam: R$ 169.096,44
(Bronze: R$ 411.442,38 | Prata: R$ 421.055,52 | Ouro: R$ 442.204,43)
📉 *COMPARAÇÕES*
◀️ Média necessária p/ Ouro: R$ 28.182,74
(vs. atual: R$ 11.379,50)
◀️ Dezembro/2024: R$ 384.525,59
📈 Variação anual (prev.): -8.26%
💡 *INSIGHT ESTRATÉGICO*
O relógio do mês está batendo seus últimos 6 dias e os números de hoje nos colocam numa encruzilhada estratégica. Com uma média diária atual de R$ 11.379,50, o desafio de atingir R$ 28.182,74/dia para a Meta Ouro é monumental. Mais preocupante, a projeção de R$ 352.764,49 nos deixa 8.26% abaixo do desempenho de Dezembro/2024. Não estamos apenas abaixo da meta, estamos perdendo terreno frente ao ano anterior em um mês crucial para o varejo.
Para evitar uma queda maior e buscar uma virada nos dias finais, a prioridade deve ser dobrar a aposta em frentes que gerem impacto imediato:
1.  **Turbo no Ticket Médio**: Com o tempo apertado, o caminho mais rápido para escalar receita é maximizar cada atendimento. Implementar um desafio de upsell/cross-sell agressivo para a equipe, com combos "leve 2 pague 1,5" ou incentivos para "produto extra" no checkout. Cada R$10 a mais no ticket médio fará uma diferença brutal.
2.  **Blitz de Ofertas 'Última Chance'**: Lançar uma campanha de "flash sale" de 48h ou 72h, com descontos pontuais em categorias de alto giro ou produtos com margem flexível, criando urgência para compra antes do Natal. Foco em comunicação via SMS/WhatsApp para base de clientes ativos e inativos recentes para reativar demanda rapidamente.
3.  **Bônus por Sprint Final**: Motivar a equipe de vendas com um bônus extra por superação do ticket médio ou por atingimento de pequenas metas diárias de venda nos 6 dias restantes. É o momento de engajar a força de vendas para um sprint final sem precedentes.
Precisamos de uma ação cirúrgica e de alto impacto para reverter a tendência e garantir o máximo possível neste encerramento de ano.
📆 Projeção de fechamento: R$ 352.764,49
🗓️ Dias restantes: 6</t>
  </si>
  <si>
    <t>Atualização Comercial – DEZEMBRO 2025
🔍 *RESUMO*
✔️ Realizado: R$ 274.878,99
📅 Média/dia: R$ 10.995,16
🎫 Ticket médio: R$ 38,16
👥 Atend./dia: 290
🎯 *METAS (vs. OURO)*
Desempenho: 62.16%
Faltam: R$ 167.325,44
(Bronze: R$ 411.442,38 | Prata: R$ 421.055,52 | Ouro: R$ 442.204,43)
📉 *COMPARAÇÕES*
◀️ Média necessária p/ Ouro: R$ 33.465,09
(vs. atual: R$ 10.995,16)
◀️ Dezembro/2024: R$ 384.525,59
📈 Variação anual (prev.): -11.36%
💡 *INSIGHT ESTRATÉGICO*
Com apenas 5 dias no calendário, a distância para a meta Ouro é significativa, exigindo um salto de quase 300% na média diária de vendas. Nosso termômetro aponta para um fechamento abaixo do ano anterior, acendendo um alerta. Para este "sprint final", a estratégia deve ser uma ofensiva cirúrgica para otimizar cada transação e mitigar o gap. Recomendo: 1) **Foco extremo no aumento do Ticket Médio:** Treinar as equipes para cross-selling/upselling agressivo, priorizando combos e produtos de maior valor agregado. 2) **Ofertas de "compra por limiar":** Incentivos para compras acima de um certo valor, como "Gaste X e ganhe Y". 3) **Ativação relâmpago de clientes inativos:** Comunicação via WhatsApp/SMS com ofertas exclusivas e urgentes para clientes que compraram no ano passado, mas ainda não este mês. Cada venda é uma peça-chave para reduzir a diferença e buscar o melhor fechamento possível, mirando ao menos em nos aproximar da meta Bronze ou superar o resultado de 2024.
📆 Projeção de fechamento: R$ 340.849,95
🗓️ Dias restantes: 5</t>
  </si>
  <si>
    <t>Atualização Comercial – DEZEMBRO 2025
🔍 *RESUMO*
✔️ Realizado: R$ 283.970,94
📅 Média/dia: R$ 10.921,96
🎫 Ticket médio: R$ 37,97
👥 Atend./dia: 290
🎯 *METAS (vs. OURO)*
Desempenho: 64.22%
Faltam: R$ 158.233,49
(Bronze: R$ 411.442,38 | Prata: R$ 421.055,52 | Ouro: R$ 442.204,43)
📉 *COMPARAÇÕES*
◀️ Média necessária p/ Ouro: R$ 39.558,37
(vs. atual: R$ 10.921,96)
◀️ Dezembro/2024: R$ 384.525,59
📈 Variação anual (prev.): -11.95%
💡 *INSIGHT ESTRATÉGICO*
Diretoria, entramos nos últimos 4 dias de um dezembro que se mostra um verdadeiro teste de resiliência. A meta Ouro exige uma média diária (R$ 39.558,37) quase 4 vezes maior que nosso ritmo atual, o que a torna virtualmente inatingível. Mais alarmante, nossa projeção indica um fechamento ~12% abaixo do desempenho de Dezembro/2024, ligando um sinal amarelo quanto à nossa performance anualizada.
Com um volume diário de 290 atendimentos e um ticket médio baixo (R$ 37,97), o gargalo não é a ausência de clientes, mas a *monetização* dessas interações. Para o sprint final, sugiro uma abordagem de "engenharia de valor" ao invés de só volume:
1.  **Blitz de Cross-Selling/Upselling:** Foco total em elevar o ticket médio. Treinamento rápido para a equipe de vendas focar em kits de última hora, combos de "presente + algo para si" ou produtos complementares de maior margem. A meta deve ser aumentar o valor de *cada* cesta de compra.
2.  **Ofertas de Valor Adicional:** Em vez de descontos genéricos, explorar "compre e ganhe" ou "desconto progressivo" para itens de maior valor, incentivando o cliente a gastar mais para desbloquear um benefício perceptível.
3.  **Recuperação de Carrinhos Abandonados/Clientes Inativos:** Ativar campanhas digitais focadas em clientes que iniciaram uma compra online sem finalizar ou que não visitam a loja há mais de 30 dias, com um incentivo de "última chance para o Natal".
Nosso objetivo agora é mitigar ao máximo a variação negativa frente ao ano anterior e, principalmente, coletar dados sobre o perfil dessas vendas de "última hora" para calibrar as estratégias de planejamento de coleções e promoções para o Q1/2026.
📆 Projeção de fechamento: R$ 338.580,74
🗓️ Dias restantes: 4</t>
  </si>
  <si>
    <t>Atualização Comercial – DEZEMBRO 2025
🔍 *RESUMO*
✔️ Realizado: R$ 293.043,76
📅 Média/dia: R$ 10.853,47
🎫 Ticket médio: R$ 37,63
👥 Atend./dia: 291
🎯 *METAS (vs. OURO)*
Desempenho: 66.27%
Faltam: R$ 149.160,67
(Bronze: R$ 411.442,38 | Prata: R$ 421.055,52 | Ouro: R$ 442.204,43)
📉 *COMPARAÇÕES*
◀️ Média necessária p/ Ouro: R$ 49.720,22
(vs. atual: R$ 10.853,47)
◀️ Dezembro/2024: R$ 384.525,59
📈 Variação anual (prev.): -12.50%
💡 *INSIGHT ESTRATÉGICO*
Estamos nos aproximando do apagar das luzes de Dezembro e a diferença para as metas Prata e Ouro se mostra um desafio monumental, exigindo um salto de performance diário que é quase cinco vezes nossa média atual. A meta Ouro está, realisticamente, fora do nosso horizonte para este mês.
Ainda assim, não é hora de recuar. Com apenas 3 dias no relógio, precisamos de uma blitz tática para mitigar o gap e, principalmente, reduzir o preocupante declínio de -12.50% em relação ao ano anterior. Nosso foco deve ser a "maximização do valor do carrinho". Com 291 atendimentos diários e um ticket médio de R$ 37,63, há uma clara oportunidade de conversão de valor em cada interação.
Minhas sugestões para esta reta final são:
1.  **"Power-Ups" no Ponto de Venda:** Desenvolver ofertas de impulso irresistíveis e de alto valor percebido, posicionadas estrategicamente perto dos caixas ou áreas de finalização de compra. Pense em 'pequenos luxos' ou 'itens complementares essenciais' com um apelo de urgência.
2.  **Desafio de Volume por Atendimento:** Criar uma meta específica para a equipe de vendas de adicionar um item extra ou elevar em X% o valor de cada transação, com bonificação por desempenho.
3.  **Combos "Last Chance":** Montar 2-3 combos de produtos de valor agregado (que impulsionem o ticket médio) com preços atraentes de "última chance para o Natal/Fim de Ano", focando em margem e volume.
O objetivo agora é um sprint final cirúrgico para otimizar cada atendimento e finalizar o ano com o máximo possível, enquanto preparamos a análise aprofundada para entender as causas da variação anual no próximo mês.
📆 Projeção de fechamento: R$ 336.457,65
🗓️ Dias restantes: 3</t>
  </si>
  <si>
    <t>Atualização Comercial – DEZEMBRO 2025
🔍 *RESUMO*
✔️ Realizado: R$ 300.884,19
📅 Média/dia: R$ 10.745,86
🎫 Ticket médio: R$ 37,55
👥 Atend./dia: 288
🎯 *METAS (vs. OURO)*
Desempenho: 68.04%
Faltam: R$ 141.320,24
(Bronze: R$ 411.442,38 | Prata: R$ 421.055,52 | Ouro: R$ 442.204,43)
📉 *COMPARAÇÕES*
◀️ Média necessária p/ Ouro: R$ 70.660,12
(vs. atual: R$ 10.745,86)
◀️ Dezembro/2024: R$ 384.525,59
📈 Variação anual (prev.): -13.37%
💡 *INSIGHT ESTRATÉGICO*
A realidade dos últimos 2 dias de dezembro é desafiadora. O abismo para a meta Ouro é colossal, exigindo uma média diária que é quase 7x nosso desempenho atual – um cenário *praticamente intransponível* para vendas orgânicas neste curtíssimo prazo. Mais preocupante ainda é a projeção de fechamento 13.37% abaixo do ano anterior, sinalizando uma perda de competitividade que exige atenção urgente.
**Para os próximos 48h, a prioridade é a mitigação e otimização:**
1.  **Foco em Rentabilidade por Atendimento:** A equipe deve ser direcionada para maximizar cada interação, focando em cross-selling/up-selling de produtos com maior margem e valor agregado, transformando cada cliente em um ponto de lucro, não apenas volume.
2.  **Micro-Campanha de Retenção Rápida:** Lançar uma ação ultradirigida via WhatsApp/SMS para clientes com histórico de compras recentes (últimos 30-60 dias) e ticket médio elevado, oferecendo um incentivo de "última chance do ano" para gerar vendas pontuais.
Este cenário reforça a necessidade imperativa de uma auditoria profunda da performance de Dezembro e um **plano de virada agressivo para JANEIRO**. Precisamos reverter essa tendência de queda anual e construir um momentum sustentável desde o dia 1 do novo ano.
📆 Projeção de fechamento: R$ 333.121,78
🗓️ Dias restantes: 2</t>
  </si>
  <si>
    <t>Atualização Comercial – DEZEMBRO 2025
🔍 *RESUMO*
✔️ Realizado: R$ 308.944,70
📅 Média/dia: R$ 10.653,27
🎫 Ticket médio: R$ 37,35
👥 Atend./dia: 287
🎯 *METAS (vs. OURO)*
Desempenho: 69.86%
Faltam: R$ 133.259,73
(Bronze: R$ 411.442,38 | Prata: R$ 421.055,52 | Ouro: R$ 442.204,43)
📉 *COMPARAÇÕES*
◀️ Média necessária p/ Ouro: R$ 133.259,73
(vs. atual: R$ 10.653,27)
◀️ Dezembro/2024: R$ 384.525,59
📈 Variação anual (prev.): -14.11%
💡 *INSIGHT ESTRATÉGICO*
Chegamos ao "tapete vermelho" do último dia de Dezembro e, com o valor faltante para a Meta Ouro excedendo em mais de 12x nossa média diária atual, é crucial aceitar que a corrida por essa meta (e até mesmo Bronze/Prata) não será vencida. Nosso foco para amanhã deve ser menos sobre milagres e mais sobre *máximo aproveitamento*. Proponho um *dia de caça intensiva*: direcionar a equipe para upselling agressivo, combos de última hora com margens ajustadas e reativação rápida de clientes inativos com ofertas exclusivas via CRM para maximizar cada real possível. Mais importante, o declínio de 14% frente ao ano anterior é um sinal de alerta que merece nossa atenção estratégica imediata. Sugiro agendarmos uma *sessão de "autópsia" detalhada* para a primeira semana de Janeiro, a fim de dissecarmos as causas dessa lacuna e desenharmos um plano de ação robusto para um 2026 que reverta essa tendência.
📆 Projeção de fechamento: R$ 330.251,23
🗓️ Dias restantes: 1</t>
  </si>
  <si>
    <t>Atualização Comercial – DEZEMBRO 2025
🔍 *RESUMO*
✔️ Realizado: R$ 318.760,90
📅 Média/dia: R$ 10.625,36
🎫 Ticket médio: R$ 37,28
👥 Atend./dia: 287
🎯 *METAS (vs. OURO)*
Desempenho: 72.08%
Faltam: R$ 123.443,53
(Bronze: R$ 411.442,38 | Prata: R$ 421.055,52 | Ouro: R$ 442.204,43)
📉 *COMPARAÇÕES*
◀️ Média necessária p/ Ouro: R$ 0,00
(vs. atual: R$ 10.625,36)
◀️ Dezembro/2024: R$ 384.525,59
📈 Variação anual (prev.): -14.34%
💡 *INSIGHT ESTRATÉGICO*
Com o fechamento de Dezembro, registramos R$ 318.760,90, aquém de todas as metas. O ponto mais crítico é a expressiva *contração de 17.10%* em relação a Dezembro/2024 (R$ 384.525,59), indicando um retrocesso significativo. Este resultado acende um alerta vermelho sobre a sustentabilidade do nosso modelo no último trimestre. Não se trata de ajustes pontuais, mas de uma *revisão estratégica profunda*. Sugiro iniciarmos Janeiro com um mergulho em dados para: 1) Analisar a performance granular por categoria de produto/serviço; 2) Entender a efetividade das promoções (dado o ticket médio de R$ 37,28, há espaço para otimização de vendas casadas e combos); 3) Mapear a jornada do cliente e a taxa de retenção, pois a média de atendimentos foi razoável, mas a conversão em valor ficou comprometida. Precisamos transformar essa queda em conhecimento para um planejamento robusto de recuperação e crescimento para o Q1, priorizando a valorização do cliente e a otimização do nosso portfólio.
📆 Projeção de fechamento: R$ 318.760,90
🗓️ Dias restantes: 0</t>
  </si>
  <si>
    <t>Atualização Comercial – JANEIRO 2026
🔍 *RESUMO*
✔️ Realizado: R$ 0,00
📅 Média/dia: R$ 0,00
🎫 Ticket médio: R$ 0,00
👥 Atend./dia: 0
🎯 *METAS (vs. OURO)*
Desempenho: 0.00%
Faltam: R$ 318.041,60
(Bronze: R$ 295.916,96 | Prata: R$ 302.830,91 | Ouro: R$ 318.041,60)
📉 *COMPARAÇÕES*
◀️ Média necessária p/ Ouro: R$ 10.966,95
(vs. atual: R$ 0,00)
◀️ Janeiro/2025: R$ 276.557,91
📈 Variação anual (prev.): -100.00%
💡 *INSIGHT ESTRATÉGICO*
Estamos na largada de Janeiro, com o placar zerado e a pista livre para construirmos nosso resultado. O desafio inicial é grande, com uma média diária necessária de R$ 10.966,95 para alcançarmos o Ouro. Este é o momento crucial de calibrar o compasso e dar o primeiro passo certeiro. Minha recomendação é focar em um "kick-off" impecável:
1.  **Alinhamento de Lançamento:** Assegurar que toda a equipe esteja não apenas ciente, mas *engajada* e motivada com o target diário desde a primeira hora de hoje. A energia inicial é contagiante.
2.  **A Caça aos Primeiros Clientes:** Implementar uma estratégia proativa para as primeiras interações do dia, visando "desbloquear" as primeiras vendas e criar um fluxo positivo. O "primeiro R$" é sempre o mais importante para o momentum.
3.  **Checagem de Motores:** Validar a perfeita funcionalidade de todos os pontos de contato (online, PDV, estoque) para garantir que a operação esteja 100% pronta para receber e converter. Zero fricção é fundamental.
A jornada é longa, mas o ritmo e a direção se definem agora.
📆 Projeção de fechamento: R$ 0,00
🗓️ Dias restantes: 29</t>
  </si>
  <si>
    <t>Atualização Comercial – JANEIRO 2026
🔍 *RESUMO*
✔️ Realizado: R$ 4.510,97
📅 Média/dia: R$ 2.255,49
🎫 Ticket médio: R$ 29,87
👥 Atend./dia: 76
🎯 *METAS (vs. OURO)*
Desempenho: 1.42%
Faltam: R$ 313.530,63
(Bronze: R$ 295.916,96 | Prata: R$ 302.830,91 | Ouro: R$ 318.041,60)
📉 *COMPARAÇÕES*
◀️ Média necessária p/ Ouro: R$ 11.197,52
(vs. atual: R$ 2.255,49)
◀️ Janeiro/2025: R$ 276.557,91
📈 Variação anual (prev.): -74.72%
💡 *INSIGHT ESTRATÉGICO*
Estamos na largada de Janeiro, mas o velocímetro indica que o ritmo atual é preocupantemente lento. Nossa média diária é apenas 20% do que precisamos para buscar o Ouro, e a projeção de fechamento aponta para uma queda abrupta de 74.72% em relação ao ano anterior. Esse cenário é um convite direto à **ação imediata e focada**, sem margem para postergação.
**Recomendações para virar o jogo nos próximos 7 dias:**
1.  **Blitz de Ticket Médio:** Com 76 atendimentos/dia, a oportunidade está em cada interação. Precisamos transformar visitas em vendas de maior valor. Sugiro uma "blitz" de produtos complementares e "combos-surpresa" (produtos de alto valor percebido com pequeno adicional), ativando a equipe com bônus por ticket médio elevado.
2.  **Campanha "Primeiro Impulso":** É crucial gerar momentum agora. Lançar uma mini-campanha de curta duração (ex: 48h de ofertas relâmpago em categorias-chave) para criar um pico de vendas e gerar caixa, energizando tanto a equipe quanto a base de clientes.
3.  **Foco nos Convertidos:** Analisar rapidamente a conversão dos atendimentos: estamos perdendo clientes no funil ou vendendo pouco para quem compra? Se o ticket é o gargalo, é hora de capacitar a equipe com scripts de venda sugestiva e argumentos de valor para cada R$10 adicionais.
Precisamos de uma aceleração drástica para mudar a rota projetada e garantir um início de ano competitivo.
📆 Projeção de fechamento: R$ 69.920,04
🗓️ Dias restantes: 28</t>
  </si>
  <si>
    <t>Atualização Comercial – JANEIRO 2026
🔍 *RESUMO*
✔️ Realizado: R$ 14.713,14
📅 Média/dia: R$ 4.904,38
🎫 Ticket médio: R$ 30,85
👥 Atend./dia: 161
🎯 *METAS (vs. OURO)*
Desempenho: 4.63%
Faltam: R$ 303.328,46
(Bronze: R$ 295.916,96 | Prata: R$ 302.830,91 | Ouro: R$ 318.041,60)
📉 *COMPARAÇÕES*
◀️ Média necessária p/ Ouro: R$ 11.234,39
(vs. atual: R$ 4.904,38)
◀️ Janeiro/2025: R$ 276.557,91
📈 Variação anual (prev.): -45.03%
💡 *INSIGHT ESTRATÉGICO*
A largada de janeiro exige nossa atenção máxima. Com R$ 14.713,14 em 3 dias, a projeção atual coloca-nos 45% abaixo do ano anterior e distante das metas. O alerta está no Ticket Médio de R$ 30,85, que não reflete o potencial dos 161 atendimentos diários. Estamos gerando tráfego, mas não o valor esperado.
**Recomendação URGENTE:** Direcionar esforços para o aumento do Ticket Médio. Proponho iniciar imediatamente:
1.  **Blitz de Treinamento:** Reforço em técnicas de upsell e cross-sell para a equipe.
2.  **Combos Estratégicos:** Criação e divulgação de ofertas combinadas de maior valor.
3.  **Incentivo por Valor:** Campanhas que premiem compras acima de um determinado patamar.
Precisamos transformar o volume de atendimentos em valor real para reverter a curva de performance rapidamente.
📆 Projeção de fechamento: R$ 152.035,78
🗓️ Dias restantes: 27</t>
  </si>
  <si>
    <t>Atualização Comercial – JANEIRO 2026
🔍 *RESUMO*
✔️ Realizado: R$ 24.106,68
📅 Média/dia: R$ 6.026,67
🎫 Ticket médio: R$ 32,10
👥 Atend./dia: 190
🎯 *METAS (vs. OURO)*
Desempenho: 7.58%
Faltam: R$ 293.934,92
(Bronze: R$ 295.916,96 | Prata: R$ 302.830,91 | Ouro: R$ 318.041,60)
📉 *COMPARAÇÕES*
◀️ Média necessária p/ Ouro: R$ 11.305,19
(vs. atual: R$ 6.026,67)
◀️ Janeiro/2025: R$ 276.557,91
📈 Variação anual (prev.): -32.45%
💡 *INSIGHT ESTRATÉGICO*
Nossa jornada de Janeiro começou com desafios claros. O volume de 190 atendimentos diários indica que temos clientes em loja, mas o ticket médio de R$ 32,10 e a média de venda diária (R$ 6.026,67) estão muito aquém do patamar de R$ 11.305,19 necessário para alcançar a Meta Ouro. É como ter um "poço de clientes" cheio, mas não estarmos usando a bomba certa para extrair o máximo valor. A projeção de -32.45% em relação ao ano anterior acende um alerta vermelho. Precisamos, com urgência, transformar cada atendimento em uma venda de maior valor. Minha recomendação é focar em: 1) **Otimização do Carrinho:** treinar a equipe para aplicar técnicas agressivas de "cross-selling" e "up-selling" em todos os atendimentos, focando em produtos complementares e de maior margem. 2) **Ofertas de Valor Imediato:** Criar combos promocionais ou "leve mais por menos" com apelo visual forte, posicionados estrategicamente. 3) **Incentivo por Ticket Médio:** Implementar um pequeno incentivo diário para a equipe que atingir um ticket médio superior à meta nos próximos dias. O foco não é mais apenas atender, mas sim potencializar o valor de cada transação. A correção precisa ser cirúrgica e imediata.
📆 Projeção de fechamento: R$ 186.826,77
🗓️ Dias restantes: 26</t>
  </si>
  <si>
    <t>Atualização Comercial – JANEIRO 2026
🔍 *RESUMO*
✔️ Realizado: R$ 33.141,75
📅 Média/dia: R$ 6.628,35
🎫 Ticket médio: R$ 31,47
👥 Atend./dia: 213
🎯 *METAS (vs. OURO)*
Desempenho: 10.42%
Faltam: R$ 284.899,85
(Bronze: R$ 295.916,96 | Prata: R$ 302.830,91 | Ouro: R$ 318.041,60)
📉 *COMPARAÇÕES*
◀️ Média necessária p/ Ouro: R$ 11.395,99
(vs. atual: R$ 6.628,35)
◀️ Janeiro/2025: R$ 276.557,91
📈 Variação anual (prev.): -25.70%
💡 *INSIGHT ESTRATÉGICO*
Estamos lançando o mês e o ritmo atual está abaixo da pista de decolagem. A média de R$ 6.628/dia exige quase o dobro para o Ouro (R$ 11.395/dia). A projeção de queda de 25% anual é um alerta. O ponto crucial: temos tráfego (213 atend./dia), mas o ticket médio de R$ 31,47 está freando nosso potencial. A prioridade é clara: **maximizar o valor de cada atendimento**. Proponho uma revisão imediata das estratégias de *upselling e cross-selling*, com foco em combos irresistíveis e treinamento ágil para a equipe. Como podemos transformar cada cliente em um multiplicador de vendas? O mês se constrói agora.
📆 Projeção de fechamento: R$ 205.478,85
🗓️ Dias restantes: 25</t>
  </si>
  <si>
    <t>Atualização Comercial – JANEIRO 2026
🔍 *RESUMO*
✔️ Realizado: R$ 40.517,88
📅 Média/dia: R$ 6.752,98
🎫 Ticket médio: R$ 30,88
👥 Atend./dia: 222
🎯 *METAS (vs. OURO)*
Desempenho: 12.74%
Faltam: R$ 277.523,72
(Bronze: R$ 295.916,96 | Prata: R$ 302.830,91 | Ouro: R$ 318.041,60)
📉 *COMPARAÇÕES*
◀️ Média necessária p/ Ouro: R$ 11.563,49
(vs. atual: R$ 6.752,98)
◀️ Janeiro/2025: R$ 276.557,91
📈 Variação anual (prev.): -24.30%
💡 *INSIGHT ESTRATÉGICO*
Janeiro começou em marcha lenta, e o sinal de alerta está ligado: nossa média diária precisa *quase dobrar* para sequer pensarmos na Meta Ouro, e a projeção atual nos coloca 24% abaixo do ano anterior. A janela para a correção é agora. Sugiro uma dupla ofensiva: 1) **Turbinar o Ticket Médio:** Implementar 'desafios de vendas' por turno para upsell/cross-sell e criar *'combos inteligentes'* (ex: leve 2, o 3º com X% off, focando em margem) que aumentem o valor da cesta. 2) **Reaquecer a Base:** Disparar micro-campanhas segmentadas (WhatsApp/SMS) com *'ofertas exclusivas de boas-vindas'* para clientes inativos há mais de 60 dias, visando trazer volume qualificado e 'descongelar' o fluxo de atendimentos. Precisamos de agilidade e foco cirúrgico para reverter essa curva.
📆 Projeção de fechamento: R$ 209.342,38
🗓️ Dias restantes: 24</t>
  </si>
  <si>
    <t>Atualização Comercial – JANEIRO 2026
🔍 *RESUMO*
✔️ Realizado: R$ 48.868,10
📅 Média/dia: R$ 6.981,16
🎫 Ticket médio: R$ 31,21
👥 Atend./dia: 227
🎯 *METAS (vs. OURO)*
Desempenho: 15.37%
Faltam: R$ 269.173,50
(Bronze: R$ 295.916,96 | Prata: R$ 302.830,91 | Ouro: R$ 318.041,60)
📉 *COMPARAÇÕES*
◀️ Média necessária p/ Ouro: R$ 11.703,20
(vs. atual: R$ 6.981,16)
◀️ Janeiro/2025: R$ 276.557,91
📈 Variação anual (prev.): -21.75%
💡 *INSIGHT ESTRATÉGICO*
Janeiro nos coloca diante de um sinal de alerta vermelho. A projeção de fechamento *muito aquém das metas* e com uma *queda acentuada de 21.75%* em relação ao ano passado indica que o 'piloto automático' não nos levará ao destino. Nosso desafio é gigantesco: a média diária necessária para o Ouro (R$ 11.703,20) é *quase o dobro* da performance atual.
Embora o volume de 227 atendimentos diários seja um ponto de partida promissor, o ticket médio de R$ 31,21 revela que estamos deixando *muito valor na mesa*. É como ter um rio caudaloso, mas usar um balde pequeno para coletar a água.
Minhas recomendações para mudarmos essa rota imediatamente são:
1.  **Maximização do Cesta:** Iniciar uma blitz de treinamento focado em "venda assistida" e associação de produtos. Precisamos elevar esse ticket médio para R$ 45-50 como prioridade, transformando cada atendimento em uma oportunidade maior.
2.  **Ofertas de "Valor Agregado":** Lançar combos temáticos ou ofertas "pague 1, leve o 2º com X% de desconto" para produtos complementares, incentivando a compra de múltiplos itens e agregando valor percebido.
3.  **Engajamento de Equipe:** Criar um desafio rápido (48-72h) com bônus por maior ticket médio ou maior número de itens por venda para injetar energia e foco da equipe nos próximos dias cruciais.
Precisamos de uma ação cirúrgica e coordenada para virar esse jogo e recuperar o terreno perdido.
📆 Projeção de fechamento: R$ 216.415,87
🗓️ Dias restantes: 23</t>
  </si>
  <si>
    <t>Atualização Comercial – JANEIRO 2026
🔍 *RESUMO*
✔️ Realizado: R$ 56.324,78
📅 Média/dia: R$ 7.040,60
🎫 Ticket médio: R$ 31,14
👥 Atend./dia: 229
🎯 *METAS (vs. OURO)*
Desempenho: 17.71%
Faltam: R$ 261.716,82
(Bronze: R$ 295.916,96 | Prata: R$ 302.830,91 | Ouro: R$ 318.041,60)
📉 *COMPARAÇÕES*
◀️ Média necessária p/ Ouro: R$ 11.896,22
(vs. atual: R$ 7.040,60)
◀️ Janeiro/2025: R$ 276.557,91
📈 Variação anual (prev.): -21.08%
💡 *INSIGHT ESTRATÉGICO*
Estamos na pista de decolagem de Janeiro, mas o indicador de velocidade mostra que precisamos acionar os pós-combustores urgentemente. Com uma média diária atual de R$ 7.040,60 e a necessidade de quase dobrar para R$ 11.896,22 para alcançar o Ouro, além de uma projeção de -21.08% comparado a 2025, o momento exige uma manobra tática decisiva.
Sugiro uma estratégia de "Ataque Rápido &amp; Reconquista":
1.  *Flash Sales Estratégicas (48h):* Concentrar esforços em 2-3 ondas de "Flash Sales" de 48 horas nos próximos dias, focando em produtos de alta margem e histórico de rápida conversão. O objetivo é criar picos de venda imediatos e elevar a média diária.
2.  *Campanha "Saudades de Você":* Ativar nossa base de dados com uma campanha segmentada para clientes que compraram em Janeiro/2025 mas não retornaram este ano. Ofertas personalizadas para reativar essa receita perdida e combater diretamente a queda YoY.
3.  *Otimização de Vitrine Digital/Física:* Realizar uma revisão ágil das nossas principais "vitrines" (online e física) para garantir que os produtos em promoção e de alta conversão estejam em destaque máximo e com chamada para ação irresistível.
A meta é não apenas reverter a trajetória atual, mas injetar um novo ritmo que nos impulsione para perto das metas.
📆 Projeção de fechamento: R$ 218.258,52
🗓️ Dias restantes: 22</t>
  </si>
  <si>
    <t>Atualização Comercial – JANEIRO 2026
🔍 *RESUMO*
✔️ Realizado: R$ 65.132,74
📅 Média/dia: R$ 7.236,97
🎫 Ticket médio: R$ 31,24
👥 Atend./dia: 235
🎯 *METAS (vs. OURO)*
Desempenho: 20.48%
Faltam: R$ 252.908,86
(Bronze: R$ 295.916,96 | Prata: R$ 302.830,91 | Ouro: R$ 318.041,60)
📉 *COMPARAÇÕES*
◀️ Média necessária p/ Ouro: R$ 12.043,28
(vs. atual: R$ 7.236,97)
◀️ Janeiro/2025: R$ 276.557,91
📈 Variação anual (prev.): -18.88%
💡 *INSIGHT ESTRATÉGICO*
Os dados de hoje acendem um alerta importante: embora tenhamos um fluxo considerável de atendimentos (235/dia), nosso ticket médio de R$ 31,24 está freando o potencial. Estamos a quase R$ 5.000 da média diária necessária para o Ouro e a projeção de fechamento está 18.88% abaixo do ano anterior, indicando uma perda de momentum.
Precisamos **transformar volume em valor imediatamente.** Minha recomendação é focar em uma **blitz de otimização do ticket médio.** Vamos capacitar intensivamente as equipes de venda para praticar técnicas de *cross-selling* e *up-selling* de forma mais assertiva. Por exemplo: "Ao comprar X, leve Y com desconto" ou "Atualize para a versão Premium de Z por apenas W". Paralelamente, podemos ativar **incentivos de performance diária focados no ticket médio**, criando um 'game' para as equipes elevarem este indicador. Isso capitalizará o tráfego existente e nos dará uma chance real de reverter a projeção e fechar janeiro com menos perdas.
📆 Projeção de fechamento: R$ 224.346,10
🗓️ Dias restantes: 21</t>
  </si>
  <si>
    <t>Atualização Comercial – JANEIRO 2026
🔍 *RESUMO*
✔️ Realizado: R$ 77.827,42
📅 Média/dia: R$ 7.782,74
🎫 Ticket médio: R$ 31,52
👥 Atend./dia: 250
🎯 *METAS (vs. OURO)*
Desempenho: 24.47%
Faltam: R$ 240.214,18
(Bronze: R$ 295.916,96 | Prata: R$ 302.830,91 | Ouro: R$ 318.041,60)
📉 *COMPARAÇÕES*
◀️ Média necessária p/ Ouro: R$ 12.010,71
(vs. atual: R$ 7.782,74)
◀️ Janeiro/2025: R$ 276.557,91
📈 Variação anual (prev.): -12.76%
💡 *INSIGHT ESTRATÉGICO*
Estamos em um ponto crucial: nossa projeção aponta para um fechamento *muito abaixo* do ano anterior e perigosamente distante da Meta Ouro. Temos um bom fluxo de atendimentos (250/dia), o que indica que estamos atraindo clientes, mas o Ticket Médio de R$ 31,52 não está capitalizando esse volume. É como ter um "posto de gasolina" com alto tráfego, mas cada carro está abastecendo com o mínimo. Precisamos, com urgência, fazer com que cada visita valha mais. Minha sugestão é **implementar imediatamente micro-campanhas de upselling e cross-selling agressivas no PDV**, focando em *combos de valor agregado* (ex: "Leve o produto A e complete com B para 20% de desconto no item B") e um **treinamento relâmpago** para a equipe sobre como otimizar a cesta de compra do cliente. Não podemos nos dar ao luxo de deixar o potencial de cada atendimento se esvair. É a alavanca mais rápida para uma virada de jogo, revertendo a projeção negativa e buscando a trajetória da Meta Prata/Ouro.
📆 Projeção de fechamento: R$ 241.265,00
🗓️ Dias restantes: 20</t>
  </si>
  <si>
    <t>Atualização Comercial – JANEIRO 2026
🔍 *RESUMO*
✔️ Realizado: R$ 86.434,93
📅 Média/dia: R$ 7.857,72
🎫 Ticket médio: R$ 31,75
👥 Atend./dia: 250
🎯 *METAS (vs. OURO)*
Desempenho: 27.18%
Faltam: R$ 231.606,67
(Bronze: R$ 295.916,96 | Prata: R$ 302.830,91 | Ouro: R$ 318.041,60)
📉 *COMPARAÇÕES*
◀️ Média necessária p/ Ouro: R$ 12.189,82
(vs. atual: R$ 7.857,72)
◀️ Janeiro/2025: R$ 276.557,91
📈 Variação anual (prev.): -11.92%
💡 *INSIGHT ESTRATÉGICO*
A jornada de Janeiro/26 exige um ajuste de rota significativo. Com 19 dias restantes, estamos projetando um fechamento em R$ 243k, bem abaixo de todas as metas e, alarmantemente, 11.92% abaixo do ano anterior. O principal desafio está em acelerar nossa média diária de R$ 7.857,72 para os R$ 12.189,82 necessários para o Ouro.
Nosso volume de atendimentos (250/dia) é positivo, sinal de tráfego, mas o ticket médio de R$ 31,75 indica uma oportunidade latente: precisamos "turbinar" o valor de cada carrinho.
**Recomendações Urgentes:**
1.  **Foco no Ticket Médio:** Lançar rapidamente uma campanha de 'leve mais, pague menos' ou combos estratégicos com margens controladas. Intensificar o treinamento de equipes para upselling e cross-selling agressivo nos produtos de maior valor percebido.
2.  **Blitz de Conversão:** Realizar uma análise rápida dos pontos de fricção na jornada do cliente, focando em otimizar a conversão de cada atendimento. Implementar 'ofertas relâmpago' no PDV para incentivar a decisão de compra.
3.  **Reativação Inteligente:** Ativar nossa base de clientes leais com ofertas exclusivas e personalizadas via WhatsApp ou e-mail, buscando gerar um pico de vendas nos próximos dias.
É crucial acender o turbo agora para reverter a tendência e garantir que cada interação valha ouro.
📆 Projeção de fechamento: R$ 243.589,35
🗓️ Dias restantes: 19</t>
  </si>
  <si>
    <t>Atualização Comercial – JANEIRO 2026
🔍 *RESUMO*
✔️ Realizado: R$ 94.270,73
📅 Média/dia: R$ 7.855,89
🎫 Ticket médio: R$ 31,75
👥 Atend./dia: 251
🎯 *METAS (vs. OURO)*
Desempenho: 29.64%
Faltam: R$ 223.770,87
(Bronze: R$ 295.916,96 | Prata: R$ 302.830,91 | Ouro: R$ 318.041,60)
📉 *COMPARAÇÕES*
◀️ Média necessária p/ Ouro: R$ 12.431,72
(vs. atual: R$ 7.855,89)
◀️ Janeiro/2025: R$ 276.557,91
📈 Variação anual (prev.): -11.94%
💡 *INSIGHT ESTRATÉGICO*
A projeção de fechamento de R$ 243.532,72 nos coloca significativamente abaixo da Meta Bronze e com uma retração preocupante de -11.94% frente a Janeiro/2025. O abismo para a Meta Ouro exige que quase dobremos a média diária de vendas nos dias restantes (R$ 12.431,72 vs. R$ 7.855,89 atual). Não estamos apenas atrasados, estamos navegando contra a corrente.
Com 251 atendimentos diários e um ticket médio de R$ 31,75, a urgência não é apenas atrair, mas *elevar o valor de cada interação*. Sugiro uma ofensiva tática imediata:
1.  **"Cesta Inteligente":** Desenvolver e promover combos de produtos com forte valor agregado e um apelo de escassez (ex: "últimos dias para levar o kit completo com X% de desconto"), mirando elevar o ticket médio para acima de R$ 50,00.
2.  **Upsell e Cross-sell Cirúrgico:** Intensificar o treinamento da equipe para identificar oportunidades de venda complementar e upgrade *logo no primeiro contato*, utilizando scripts otimizados que transformem a compra base em uma experiência mais completa.
3.  **Desafio "Virada do Mês":** Implementar um programa de incentivo diário com metas agressivas de ticket médio e volume, recompensando equipes ou indivíduos que superarem consistentemente a média diária necessária de R$ 12.431,72. Isso injetará a energia e o foco necessários para reverter a tendência.
Precisamos redefinir a performance por atendimento para não apenas bater a meta, mas reverter a projeção negativa em relação ao ano anterior.
📆 Projeção de fechamento: R$ 243.532,72
🗓️ Dias restantes: 18</t>
  </si>
  <si>
    <t>Atualização Comercial – JANEIRO 2026
🔍 *RESUMO*
✔️ Realizado: R$ 101.526,24
📅 Média/dia: R$ 7.809,71
🎫 Ticket médio: R$ 31,71
👥 Atend./dia: 250
🎯 *METAS (vs. OURO)*
Desempenho: 31.92%
Faltam: R$ 216.515,36
(Bronze: R$ 295.916,96 | Prata: R$ 302.830,91 | Ouro: R$ 318.041,60)
📉 *COMPARAÇÕES*
◀️ Média necessária p/ Ouro: R$ 12.736,20
(vs. atual: R$ 7.809,71)
◀️ Janeiro/2025: R$ 276.557,91
📈 Variação anual (prev.): -12.46%
💡 *INSIGHT ESTRATÉGICO*
Estamos navegando em águas turbulentas este mês. Atingimos apenas 31.92% da Meta Ouro e, mantendo o ritmo atual, projetamos um fechamento 12.46% abaixo do ano anterior, acendendo um forte alerta. A disparidade é clara: precisamos quase dobrar nossa média diária de vendas (R$ 7.809,71 para R$ 12.736,20) nos 17 dias restantes para sequer aspirar ao Ouro.
**Nossa bússola aponta para duas alavancas essenciais:**
1.  **Otimizar o Ticket Médio (R$ 31,71):** É fundamental transformar cada atendimento. Proponho um *blitz* de treinamento para a equipe de vendas, focando em técnicas de *cross-selling* e *upselling* de produtos de maior margem. A criação e promoção ativa de kits ou "combos inteligentes" podem incentivar um gasto maior por cliente sem depender de promoções de preço direto.
2.  **Acelerar o Fluxo de Atendimentos (250/dia):** Precisamos de mais pessoas na loja ou realizando compras. Uma campanha de reativação via WhatsApp ou SMS marketing, direcionada a clientes inativos com ofertas de "última chance" para Janeiro, pode gerar um pulso rápido de visitas. Avaliar também pequenas ações de "flash sale" para produtos específicos de alto giro, divulgadas em redes sociais locais, para atrair tráfego imediato.
A janela de oportunidade está se fechando. Uma execução rápida e monitoramento diário são cruciais para reverter essa tendência e evitar um impacto negativo no início do ano.
📆 Projeção de fechamento: R$ 242.101,03
🗓️ Dias restantes: 17</t>
  </si>
  <si>
    <t>Atualização Comercial – JANEIRO 2026
🔍 *RESUMO*
✔️ Realizado: R$ 109.354,34
📅 Média/dia: R$ 7.811,02
🎫 Ticket médio: R$ 31,84
👥 Atend./dia: 249
🎯 *METAS (vs. OURO)*
Desempenho: 34.38%
Faltam: R$ 208.687,26
(Bronze: R$ 295.916,96 | Prata: R$ 302.830,91 | Ouro: R$ 318.041,60)
📉 *COMPARAÇÕES*
◀️ Média necessária p/ Ouro: R$ 13.042,95
(vs. atual: R$ 7.811,02)
◀️ Janeiro/2025: R$ 276.557,91
📈 Variação anual (prev.): -12.44%
💡 *INSIGHT ESTRATÉGICO*
Estamos navegando em águas turbulentas. A projeção de fechamento abaixo da Meta Bronze e a variação anual negativa de 12.44% acendem um alerta crítico. A lacuna para a Meta Ouro exige que quase dobremos nossa média diária atual (de R$ 7.811,02 para R$ 13.042,95), um salto que não será alcançado com a inércia.
Nossa estratégia precisa de um *impulso de alto impacto* nos próximos dias. Com 16 dias restantes e um ticket médio baixo (R$ 31,84) frente ao volume de atendimentos, o foco deve ser na **otimização do valor por transação**, não apenas no volume bruto.
**Recomendações para um sprint estratégico:**
1.  **"Upgrade Express":** Lançar um desafio interno de vendas para a equipe, focando em "mini-upgrades" no ticket médio. Por exemplo, metas diárias de +R$ 10 no ticket médio por cliente através de produtos complementares ou de maior valor percebido.
2.  **Pílulas Promocionais de Valor:** Criar ofertas relâmpago (24-48h) que agreguem valor percebido ao cliente, como "compre X e ganhe Y" (onde Y é um item de menor custo, mas com alto apelo), ou "segundo item com Z% de desconto" em categorias estratégicas, visando elevar o volume de itens por venda.
3.  **Análise de Desempenho por Vendedor:** Identificar e replicar as melhores práticas dos vendedores com maior ticket médio ou maior volume de "mini-upgrades" em suas transações.
Precisamos mudar a inclinação da curva de vendas com urgência, transformando cada atendimento em uma oportunidade de valor.
📆 Projeção de fechamento: R$ 242.141,75
🗓️ Dias restantes: 16</t>
  </si>
  <si>
    <t>Atualização Comercial – JANEIRO 2026
🔍 *RESUMO*
✔️ Realizado: R$ 116.856,56
📅 Média/dia: R$ 7.790,44
🎫 Ticket médio: R$ 31,82
👥 Atend./dia: 248
🎯 *METAS (vs. OURO)*
Desempenho: 36.74%
Faltam: R$ 201.185,04
(Bronze: R$ 295.916,96 | Prata: R$ 302.830,91 | Ouro: R$ 318.041,60)
📉 *COMPARAÇÕES*
◀️ Média necessária p/ Ouro: R$ 13.412,34
(vs. atual: R$ 7.790,44)
◀️ Janeiro/2025: R$ 276.557,91
📈 Variação anual (prev.): -12.68%
💡 *INSIGHT ESTRATÉGICO*
A projeção atual nos coloca 12.68% abaixo de Jan/2025 e bem distante das metas. Para buscar o Ouro, precisamos quase dobrar nossa média diária para R$ 13.412,34 nos próximos 15 dias. Com 248 atendimentos/dia, nosso gargalo não é o fluxo de pessoas, mas o *valor por interação*. Nosso Ticket Médio de R$ 31,82 é o epicentro do desafio. A estratégia imediata é acionar uma "onda de valor" no caixa. Devemos focar em:
1.  **Duplicar o Poder da Cesta:** Treinar e incentivar equipes para elevar cada compra. Campanha interna de "adicione um item a mais" ou "upgrade inteligente".
2.  **Combos Irresistíveis:** Criar ofertas de valor agregado que naturalmente aumentem o ticket médio (ex: "Leve o kit completo com desconto X").
3.  **Foco em Margem, não Apenas Volume:** Priorizar a venda de produtos com melhor margem, que impactam o resultado final mais rapidamente.
O tempo é crucial para reverter essa tendência e evitar um fechamento aquém do ano anterior.
📆 Projeção de fechamento: R$ 241.503,56
🗓️ Dias restantes: 15</t>
  </si>
  <si>
    <t>Atualização Comercial – JANEIRO 2026
🔍 *RESUMO*
✔️ Realizado: R$ 127.040,21
📅 Média/dia: R$ 7.940,01
🎫 Ticket médio: R$ 32,01
👥 Atend./dia: 251
🎯 *METAS (vs. OURO)*
Desempenho: 39.94%
Faltam: R$ 191.001,39
(Bronze: R$ 295.916,96 | Prata: R$ 302.830,91 | Ouro: R$ 318.041,60)
📉 *COMPARAÇÕES*
◀️ Média necessária p/ Ouro: R$ 13.642,96
(vs. atual: R$ 7.940,01)
◀️ Janeiro/2025: R$ 276.557,91
📈 Variação anual (prev.): -11.00%
💡 *INSIGHT ESTRATÉGICO*
Estamos em um momento crítico, onde o ritmo atual nos coloca não só distante da Meta Ouro, mas projeta um Janeiro -11% em relação ao ano anterior. Com 14 dias pela frente, precisamos de uma *mudança de marcha imediata*. Observo 251 atendimentos/dia, o que indica que o desafio maior está em *otimizar cada interação*. Sugiro um plano de ação duplo e agressivo: 1) Foco em combos e upsells de produtos de maior margem no ponto de venda, elevando o Ticket Médio de R$ 32,01 para pelo menos R$ 40 nos próximos 5 dias. 2) Lançamento urgente de uma campanha "Resgate de Verão" para clientes inativos do último trimestre, oferecendo um benefício exclusivo para reativá-los, buscando gerar um fluxo qualificado e de alto valor que compense a lacuna atual. Não podemos apenas vender; precisamos *maximizar o valor* de cada contato.
📆 Projeção de fechamento: R$ 246.140,41
🗓️ Dias restantes: 14</t>
  </si>
  <si>
    <t>Atualização Comercial – JANEIRO 2026
🔍 *RESUMO*
✔️ Realizado: R$ 139.083,17
📅 Média/dia: R$ 8.181,36
🎫 Ticket médio: R$ 31,99
👥 Atend./dia: 259
🎯 *METAS (vs. OURO)*
Desempenho: 43.73%
Faltam: R$ 178.958,43
(Bronze: R$ 295.916,96 | Prata: R$ 302.830,91 | Ouro: R$ 318.041,60)
📉 *COMPARAÇÕES*
◀️ Média necessária p/ Ouro: R$ 13.766,03
(vs. atual: R$ 8.181,36)
◀️ Janeiro/2025: R$ 276.557,91
📈 Variação anual (prev.): -8.29%
💡 *INSIGHT ESTRATÉGICO*
Estamos navegando em uma correnteza contrária: a projeção aponta para um fechamento abaixo de todas as metas e significativamente inferior ao ano anterior. O principal desafio é a "escalada de performance" necessária para alcançar a Meta Ouro, exigindo quase o dobro da média de vendas diárias atual (R$ 13.766,03 vs. R$ 8.181,36). Não podemos depender do crescimento orgânico. Precisamos de um "impulso turbinado" nas vendas.
**Recomendações para os próximos 13 dias:**
1.  **Foco em Cesta Maior:** Implementar uma campanha de "Upgrade Inteligente" com incentivo extra na venda de produtos complementares ou de maior valor (ex: "Leve o Principal + Acessório com X% de desconto"). O objetivo é elevar o ticket médio acima dos R$ 31,99.
2.  **Campanha "Bate-e-Volta Relâmpago":** Lançar ofertas exclusivas de poucas horas/dias para clientes cadastrados (segmentando por histórico de compra) com produtos de alto valor agregado ou kits promocionais, criando senso de urgência e picos de receita.
3.  **Desafio de Performance por Período:** Dividir o dia em blocos (ex: manhã/tarde) e estabelecer mini-metas desafiadoras para a equipe, focando não apenas em volume, mas em valor por atendimento, com bônus por superação em produtos estratégicos.
É crucial agir de forma cirúrgica e com alta intensidade para reverter a tendência e acelerar a captação do valor restante.
📆 Projeção de fechamento: R$ 253.622,25
🗓️ Dias restantes: 13</t>
  </si>
  <si>
    <t>Atualização Comercial – JANEIRO 2026
🔍 *RESUMO*
✔️ Realizado: R$ 149.040,94
📅 Média/dia: R$ 8.280,05
🎫 Ticket médio: R$ 32,43
👥 Atend./dia: 258
🎯 *METAS (vs. OURO)*
Desempenho: 46.86%
Faltam: R$ 169.000,66
(Bronze: R$ 295.916,96 | Prata: R$ 302.830,91 | Ouro: R$ 318.041,60)
📉 *COMPARAÇÕES*
◀️ Média necessária p/ Ouro: R$ 14.083,39
(vs. atual: R$ 8.280,05)
◀️ Janeiro/2025: R$ 276.557,91
📈 Variação anual (prev.): -7.19%
💡 *INSIGHT ESTRATÉGICO*
A realidade de JANEIRO exige um "choque de gestão" imediato. Estamos projetando fechar -7.19% abaixo do ano anterior e distantes de todas as metas. A necessidade de faturar R$ 14.083,39/dia nos próximos 12 dias, quase o dobro do atual, sinaliza que as ações incrementais não bastam. Precisamos *elevar drasticamente o valor de cada atendimento*.
**Sugestões para um Sprint Final:**
1.  **'Power Bundles' Estratégicos**: Criar combos de produtos com margem saudável e alto apelo, incentivando um Ticket Médio superior a R$ 50,00 por exemplo.
2.  **Desconto Condicional Agressivo**: Ofertas do tipo "Gaste X e Ganhe Y%" de desconto ou "Leve o segundo item com 50% off" focadas em aumentar o volume do carrinho.
3.  **Engajamento da Equipe**: Lançar um desafio diário com premiação instantânea para a equipe que atingir o maior número de up-sells/cross-sells ou o maior Ticket Médio, fomentando a competição saudável e a busca por valor.
O foco agora é maximizar o ROI de cada cliente que entra na loja. Hora de intensificar!
📆 Projeção de fechamento: R$ 256.681,62
🗓️ Dias restantes: 12</t>
  </si>
  <si>
    <t>Atualização Comercial – JANEIRO 2026
🔍 *RESUMO*
✔️ Realizado: R$ 157.816,71
📅 Média/dia: R$ 8.306,14
🎫 Ticket médio: R$ 32,41
👥 Atend./dia: 259
🎯 *METAS (vs. OURO)*
Desempenho: 49.62%
Faltam: R$ 160.224,89
(Bronze: R$ 295.916,96 | Prata: R$ 302.830,91 | Ouro: R$ 318.041,60)
📉 *COMPARAÇÕES*
◀️ Média necessária p/ Ouro: R$ 14.565,90
(vs. atual: R$ 8.306,14)
◀️ Janeiro/2025: R$ 276.557,91
📈 Variação anual (prev.): -6.89%
💡 *INSIGHT ESTRATÉGICO*
Estamos em um ponto crítico com 11 dias restantes, onde a Meta Ouro exige que quase dobremos nossa média diária atual (R$ 14.565,90 vs. R$ 8.306,14). A projeção atual, que nos deixa abaixo da Meta Bronze e do desempenho do ano passado, sinaliza que precisamos de uma guinada estratégica imediata. O alto volume de atendimentos (259/dia) com um ticket médio baixo (R$ 32,41) aponta para uma grande oportunidade inexplorada: a de *maximizar o valor de cada interação*.
Sugiro um "Sprint de Valor Adicionado" para esta reta final:
1.  **Foco no "2 por X" ou "Leve Mais, Pague Menos":** Implementar rapidamente ofertas de pacote ou combos com produtos complementares, incentivando o cliente a levar mais itens ou produtos de maior valor.
2.  **Incentivo para o Ticket Médio:** Criar uma bonificação diária ou semanal para a equipe que alcançar a maior média de ticket, ou número de itens por compra, injetando competitividade e foco no resultado.
3.  **Mini-campanha de Reativação:** Disparar um SMS ou WhatsApp para clientes com compras recentes, oferecendo um benefício exclusivo para uma nova compra com valor mínimo, visando impulsionar o volume em poucos dias.
Precisamos mover o ponteiro do ticket médio para reverter esta projeção e buscar um fechamento mais competitivo.
📆 Projeção de fechamento: R$ 257.490,42
🗓️ Dias restantes: 11</t>
  </si>
  <si>
    <t>Atualização Comercial – JANEIRO 2026
🔍 *RESUMO*
✔️ Realizado: R$ 157.816,71
📅 Média/dia: R$ 8.306,14
🎫 Ticket médio: R$ 32,41
👥 Atend./dia: 259
🎯 *METAS (vs. OURO)*
Desempenho: 49.62%
Faltam: R$ 160.224,89
(Bronze: R$ 295.916,96 | Prata: R$ 302.830,91 | Ouro: R$ 318.041,60)
📉 *COMPARAÇÕES*
◀️ Média necessária p/ Ouro: R$ 14.565,90
(vs. atual: R$ 8.306,14)
◀️ Janeiro/2025: R$ 276.557,91
📈 Variação anual (prev.): -6.89%
💡 *INSIGHT ESTRATÉGICO*
Estamos na reta final de Janeiro e o cenário atual exige um **sprint estratégico de alta intensidade**. Nossa projeção coloca-nos abaixo de todas as metas e com uma retração em relação ao ano anterior. Para alcançar o Ouro, precisamos **quase dobrar** a média diária de vendas nos próximos 11 dias. Isso não acontecerá com o ritmo atual.
Sugiro um **"ataque" tático em duas frentes** para otimizar cada interação e atrair um fluxo qualificado:
1.  **Turbinar o Ticket Médio no PDV:** O foco deve ser em maximizar o valor de cada carrinho. Implementar rapidamente *treinamento relâmpago* para a equipe em técnicas de up-selling e cross-selling avançadas. Criar e promover **combos de valor ou ofertas complementares** que tornem irresistível para o cliente levar o próximo item, aumentando o gasto médio por atendimento de forma orgânica.
2.  **Campanha "Última Chamada" Direcionada:** Lançar uma ofensiva digital de curta duração (48-72h) para nossa base de clientes mais engajados ou inativos. Mensagens personalizadas (SMS/e-mail marketing) com **ofertas exclusivas e senso de urgência** para o fechamento do mês, visando gerar um pico de atendimentos de alto potencial nos dias cruciais. A meta é trazer clientes que já conhecem a marca e que tendem a ter um ticket médio maior.
📆 Projeção de fechamento: R$ 257.490,42
🗓️ Dias restantes: 11</t>
  </si>
  <si>
    <t>Atualização Comercial – JANEIRO 2026
🔍 *RESUMO*
✔️ Realizado: R$ 166.671,27
📅 Média/dia: R$ 8.333,56
🎫 Ticket médio: R$ 32,51
👥 Atend./dia: 259
🎯 *METAS (vs. OURO)*
Desempenho: 52.41%
Faltam: R$ 151.370,33
(Bronze: R$ 295.916,96 | Prata: R$ 302.830,91 | Ouro: R$ 318.041,60)
📉 *COMPARAÇÕES*
◀️ Média necessária p/ Ouro: R$ 15.137,03
(vs. atual: R$ 8.333,56)
◀️ Janeiro/2025: R$ 276.557,91
📈 Variação anual (prev.): -6.59%
💡 *INSIGHT ESTRATÉGICO*
Estamos em um "sprint de recuperação" nos últimos 10 dias de Janeiro. A projeção atual nos coloca abaixo de todas as metas e, mais crítico, aquém do desempenho do ano anterior. A média diária necessária para o Ouro é praticamente o dobro do nosso ritmo atual, o que aponta para a urgência de uma mudança tática robusta.
Com um alto volume de atendimentos diários (259), mas um ticket médio de R$ 32,51, o gargalo não parece ser o fluxo de clientes, mas sim o valor capturado por interação. A principal alavanca para virar o jogo é elevar o Ticket Médio de forma agressiva.
**Recomendações para a reta final:**
1.  **Blitz de Upsell/Cross-sell:** Implementar um desafio diário para a equipe, focando em elevar o ticket médio de cada venda. Treinamento rápido para a equipe para identificar oportunidades de produtos complementares ou de maior valor.
2.  **Combos Inteligentes e Ofertas de Pacote:** Criar ofertas de valor percebido alto, como "Leve 2, pague 1,5" ou "Monte seu Kit com X% de desconto", incentivando o cliente a gastar mais em uma única compra.
3.  **Foco em Produtos de Maior Margem/Valor:** Direcionar o esforço de venda para produtos que, além de aumentarem o ticket médio, contribuam mais para a margem global.
Um aumento de apenas R$ 8,00 no Ticket Médio (para R$ 40,51) geraria R$ 20.720 adicionais nos dias restantes, um impulso vital para fecharmos o mês mais próximos das nossas metas e superarmos o ano anterior. É hora de focar em "tirar mais" de cada cliente que já está conosco.
📆 Projeção de fechamento: R$ 258.340,47
🗓️ Dias restantes: 10</t>
  </si>
  <si>
    <t>Atualização Comercial – JANEIRO 2026
🔍 *RESUMO*
✔️ Realizado: R$ 173.387,04
📅 Média/dia: R$ 8.256,53
🎫 Ticket médio: R$ 32,26
👥 Atend./dia: 259
🎯 *METAS (vs. OURO)*
Desempenho: 54.52%
Faltam: R$ 144.654,56
(Bronze: R$ 295.916,96 | Prata: R$ 302.830,91 | Ouro: R$ 318.041,60)
📉 *COMPARAÇÕES*
◀️ Média necessária p/ Ouro: R$ 16.072,73
(vs. atual: R$ 8.256,53)
◀️ Janeiro/2025: R$ 276.557,91
📈 Variação anual (prev.): -7.45%
💡 *INSIGHT ESTRATÉGICO*
Estamos na reta final de Janeiro, e o mapa de bordo indica uma altitude comercial abaixo do planejado. O valor diário necessário para alcançar a Meta Ouro é praticamente o dobro da nossa média atual, e a projeção de fechamento nos coloca em declínio frente ao ano passado. Com um ticket médio estável e um fluxo de atendimentos constante (259/dia), a oportunidade de virada não está em aumentar a frequência de voos, mas sim em **otimizar cada passageiro a bordo, elevando o valor da bagagem** em cada transação.
Minha recomendação é focar em uma **estratégia de "upgrade de cesta"** nos próximos 9 dias. Precisamos incentivar a equipe a focar em:
1.  **Engajamento de Valor:** Treinamento relâmpago e desafios de vendas para que a equipe promova ativamente **combos, produtos complementares ou itens de maior valor agregado**, transformando o atendimento padrão em uma oportunidade de upsell/cross-sell. Por exemplo: "Leve o principal e adicione o acessório X por Y% a mais" ou "Pack Família/Amigos com 3 itens por um preço especial".
2.  **Incentivo à Qualidade:** Criar micro-campanhas de recompensa para o time que conseguir elevar o ticket médio acima de um patamar pré-definido, focando em mais itens por compra, e não apenas no volume de atendimentos.
3.  **Comunicação de Oportunidade:** Utilizar canais internos e externos para comunicar "últimas chances" de ofertas de valor ou packs exclusivos que estimulem uma compra mais robusta.
O objetivo é claro: fazer com que cada cliente que entra na loja saia com uma compra de maior valor, elevando nosso ticket médio para aproximar-nos, no mínimo, da Meta Bronze e reverter a projeção de queda em relação a 2025.
📆 Projeção de fechamento: R$ 255.952,30
🗓️ Dias restantes: 9</t>
  </si>
  <si>
    <t>Atualização Comercial – JANEIRO 2026
🔍 *RESUMO*
✔️ Realizado: R$ 180.699,38
📅 Média/dia: R$ 8.213,61
🎫 Ticket médio: R$ 32,16
👥 Atend./dia: 258
🎯 *METAS (vs. OURO)*
Desempenho: 56.82%
Faltam: R$ 137.342,22
(Bronze: R$ 295.916,96 | Prata: R$ 302.830,91 | Ouro: R$ 318.041,60)
📉 *COMPARAÇÕES*
◀️ Média necessária p/ Ouro: R$ 17.167,78
(vs. atual: R$ 8.213,61)
◀️ Janeiro/2025: R$ 276.557,91
📈 Variação anual (prev.): -7.93%
💡 *INSIGHT ESTRATÉGICO*
O sprint final de Janeiro nos coloca diante de um desafio considerável: a média diária necessária para alcançar o Ouro (R$ 17.167) é mais que o dobro da atual. A projeção de fechamento aquém do ano anterior reforça a urgência. Embora tenhamos um bom volume de atendimentos (258/dia), o baixo Ticket Médio (R$ 32,16) é nosso principal gargalo, indicando que o foco deve ser em *valor por cliente* e não apenas volume.
**Ações Imediatas para Reverter o Jogo nestes 8 Dias:**
1.  **"Cesta de Valor":** Foco total em *upsell* e *cross-sell*. Criar combos promocionais irresistíveis ou ofertas de "leve mais, pague menos" para aumentar o valor agregado de cada compra no momento do checkout.
2.  **Sprint de Incentivo por Ticket:** Lançar um bônus relâmpago para a equipe de vendas, atrelado diretamente ao incremento do Ticket Médio e ao atingimento de metas diárias agressivas.
3.  **Liquidação Estratégica:** Avaliar itens com giro lento ou alta margem para promoções pontuais e agressivas de 24h, visando não só a venda, mas o aumento do valor total da transação.
Não basta vender mais, precisamos vender *melhor* e com *mais valor* nestes últimos dias para mudar a trajetória.
📆 Projeção de fechamento: R$ 254.621,85
🗓️ Dias restantes: 8</t>
  </si>
  <si>
    <t>Atualização Comercial – JANEIRO 2026
🔍 *RESUMO*
✔️ Realizado: R$ 189.051,64
📅 Média/dia: R$ 8.219,64
🎫 Ticket médio: R$ 32,05
👥 Atend./dia: 259
🎯 *METAS (vs. OURO)*
Desempenho: 59.44%
Faltam: R$ 128.989,96
(Bronze: R$ 295.916,96 | Prata: R$ 302.830,91 | Ouro: R$ 318.041,60)
📉 *COMPARAÇÕES*
◀️ Média necessária p/ Ouro: R$ 18.427,14
(vs. atual: R$ 8.219,64)
◀️ Janeiro/2025: R$ 276.557,91
📈 Variação anual (prev.): -7.86%
💡 *INSIGHT ESTRATÉGICO*
A meta Ouro de Janeiro nos exige um *sprint final* impressionante: precisamos mais que dobrar a média diária atual ($8.219,64 para $18.427,14) nos próximos 7 dias. A projeção de fechamento está aquém da meta Bronze e registra uma variação negativa significativa (-7.86%) frente ao ano anterior. O momento exige agilidade máxima e ações cirúrgicas. Sugiro focar imediatamente em: 1) **Combos Inteligentes de Valor**: Crie ofertas de pacotes de produtos com ticket médio elevado e apelo de 'última chance' para aumentar o volume por transação. 2) **Reativação VIP Agressiva**: Um foco intenso em clientes de alto potencial/inativos via comunicação direta, com incentivos irrecusáveis para retorno. 3) **Flexibilidade Tática na Ponta**: Avaliar a concessão de 'poder de negociação' controlado à equipe para fechar vendas maiores, incentivando o upsell e cross-sell de forma mais ágil. É tudo ou nada nestes últimos dias para mitigar a distância.
📆 Projeção de fechamento: R$ 254.808,73
🗓️ Dias restantes: 7</t>
  </si>
  <si>
    <t>Atualização Comercial – JANEIRO 2026
🔍 *RESUMO*
✔️ Realizado: R$ 200.291,92
📅 Média/dia: R$ 8.345,50
🎫 Ticket médio: R$ 32,02
👥 Atend./dia: 263
🎯 *METAS (vs. OURO)*
Desempenho: 62.98%
Faltam: R$ 117.749,68
(Bronze: R$ 295.916,96 | Prata: R$ 302.830,91 | Ouro: R$ 318.041,60)
📉 *COMPARAÇÕES*
◀️ Média necessária p/ Ouro: R$ 19.624,95
(vs. atual: R$ 8.345,50)
◀️ Janeiro/2025: R$ 276.557,91
📈 Variação anual (prev.): -6.45%
💡 *INSIGHT ESTRATÉGICO*
O cenário de JANEIRO/2026 nos coloca sob grande pressão para os últimos 6 dias. A média diária atual (R$ 8.345,50) é menos da metade da necessária para alcançar a Meta Ouro, e a projeção nos indica um fechamento *abaixo da Meta Bronze e 6,45% inferior ao ano anterior*. Estamos em um momento decisivo que exige uma `ação tática de alto impacto`.
Sugiro uma ofensiva em duas frentes com urgência:
1.  **Maximização do Ticket Médio:** Com 263 atendimentos diários, precisamos que cada interação gere mais valor. Implementar *incentivos agressivos para a equipe em up-selling e cross-selling*, focando em *combos estratégicos* e *promoções progressivas* ('compre 2, leve 3' ou 'X% de desconto no segundo item').
2.  **Geração de Demanda Qualificada:** Lançar uma *campanha de "última chance" via WhatsApp/SMS* para a base de clientes mais engajada, oferecendo um *benefício exclusivo e altamente atrativo* (ex: 15% off em compras acima de R$100, válido apenas por 48h) que incentive a compra imediata e de maior valor.
A meta é criar um `pico de faturamento concentrado` nestes últimos dias, não apenas para mitigar a lacuna em relação às metas, mas para, no mínimo, reverter a tendência negativa em relação a 2025. É crucial que o time de vendas esteja alinhado e motivado com clareza nos objetivos.
📆 Projeção de fechamento: R$ 258.710,40
🗓️ Dias restantes: 6</t>
  </si>
  <si>
    <t>Atualização Comercial – JANEIRO 2026
🔍 *RESUMO*
✔️ Realizado: R$ 208.776,10
📅 Média/dia: R$ 8.351,04
🎫 Ticket médio: R$ 32,11
👥 Atend./dia: 263
🎯 *METAS (vs. OURO)*
Desempenho: 65.64%
Faltam: R$ 109.265,50
(Bronze: R$ 295.916,96 | Prata: R$ 302.830,91 | Ouro: R$ 318.041,60)
📉 *COMPARAÇÕES*
◀️ Média necessária p/ Ouro: R$ 21.853,10
(vs. atual: R$ 8.351,04)
◀️ Janeiro/2025: R$ 276.557,91
📈 Variação anual (prev.): -6.39%
💡 *INSIGHT ESTRATÉGICO*
A reta final de Janeiro nos encontra em uma encruzilhada crucial. A projeção de R$ 258.882,36 não apenas nos deixa distantes das Metas Bronze, Prata e Ouro, mas projeta um recuo de 6.39% em relação ao ano anterior. O gap para Ouro (R$ 109K em 5 dias) exige uma performance diária de R$ 21.853,10 – um aumento irrealista de 160% sobre a média atual.
É hora de um *pivô estratégico imediato*. Manter o foco inabalável no Ouro, com a performance atual, pode ser desmotivador e inatingível. Nosso objetivo mais realista e tangível para os próximos 5 dias deve ser:
1.  **Mitigar a Queda Anual:** Superar a projeção e, no mínimo, igualar ou superar o resultado de Janeiro/2025 (R$ 276.557,91), o que exige uma média diária de R$ 13.556,36. Isso ainda é um desafio (62% acima da média atual), mas mais alcançável.
2.  **Salvar a Meta Bronze:** Com a média acima, podemos ainda tentar nos aproximar da Meta Bronze (R$ 295.916,96), o que requer R$ 17.428,17/dia.
**Recomendações Práticas (ação imediata):**
*   **Blitz de Vendas Focada:** Lançar uma campanha de "horas finais" ou "últimos 5 dias" com promoções de *valor percebido* alto para o cliente e *margem controlada* para nós. Ex: "Compre um, leve o segundo com 50% de desconto" em itens selecionados de alto giro para impulsionar o ticket médio (atualmente R$ 32,11).
*   **Engajamento Direto com Leads:** Utilizar a base de dados de clientes que visitaram a loja mas não compraram, ou clientes VIPs que ainda não fizeram sua compra de janeiro, com uma oferta personalizada e válida apenas para os próximos 5 dias.
*   **Incentivo Relâmpago para Equipe:** Implementar um bônus por atingimento de uma "mini-meta" diária de R$ 14.000 (acima do patamar de 2025) para os próximos dias, para reenergizar o time e focar no volume.
Precisamos de uma injeção de energia e estratégia cirúrgica para fechar este mês honrosamente e não deixar a variação anual negativa se aprofundar.
📆 Projeção de fechamento: R$ 258.882,36
🗓️ Dias restantes: 5</t>
  </si>
  <si>
    <t>Atualização Comercial – JANEIRO 2026
🔍 *RESUMO*
✔️ Realizado: R$ 216.615,47
📅 Média/dia: R$ 8.331,36
🎫 Ticket médio: R$ 31,93
👥 Atend./dia: 264
🎯 *METAS (vs. OURO)*
Desempenho: 68.11%
Faltam: R$ 101.426,13
(Bronze: R$ 295.916,96 | Prata: R$ 302.830,91 | Ouro: R$ 318.041,60)
📉 *COMPARAÇÕES*
◀️ Média necessária p/ Ouro: R$ 25.356,53
(vs. atual: R$ 8.331,36)
◀️ Janeiro/2025: R$ 276.557,91
📈 Variação anual (prev.): -6.61%
💡 *INSIGHT ESTRATÉGICO*
Estamos na reta final de janeiro e os números mostram que o desafio para alcançar a Meta Ouro é monumental, exigindo um salto diário de mais de 200% em vendas nos próximos 4 dias. A projeção atual, inclusive, nos coloca abaixo do desempenho do ano passado e das metas mais conservadoras.
Com uma média de 264 atendimentos diários e um ticket médio de R$ 31,93, a "mina de ouro" nestes últimos dias está em **elevar o valor de cada transação**, e não apenas o volume. É hora de fazer cada cliente valer mais. Minhas recomendações para um sprint final impactante:
1.  **Foco no "Leve Mais, Pague Menos":** Criar combos e pacotes de produtos com valor percebido mais alto, incentivando a compra de múltiplos itens ou produtos de maior margem.
2.  **"Sugestão Turbinada":** Capacitar a equipe para oferecer ativamente um segundo produto complementar ou um upgrade de valor superior em cada venda, com argumentos claros de benefício ao cliente.
3.  **Mini-Metas Diárias de Ticket Médio:** Lançar um desafio interno nos próximos 4 dias, com pequenas recompensas, para as equipes que conseguirem elevar o ticket médio de suas vendas acima de um patamar pré-definido.
A urgência é máxima para reverter essa tendência e fechar o mês com o melhor desempenho possível, mirando a Meta Bronze como o objetivo mais ambicioso, porém alcançável, para este fechamento.
📆 Projeção de fechamento: R$ 258.272,29
🗓️ Dias restantes: 4</t>
  </si>
  <si>
    <t>Atualização Comercial – JANEIRO 2026
🔍 *RESUMO*
✔️ Realizado: R$ 223.396,79
📅 Média/dia: R$ 8.273,96
🎫 Ticket médio: R$ 31,90
👥 Atend./dia: 262
🎯 *METAS (vs. OURO)*
Desempenho: 70.24%
Faltam: R$ 94.644,81
(Bronze: R$ 295.916,96 | Prata: R$ 302.830,91 | Ouro: R$ 318.041,60)
📉 *COMPARAÇÕES*
◀️ Média necessária p/ Ouro: R$ 31.548,27
(vs. atual: R$ 8.273,96)
◀️ Janeiro/2025: R$ 276.557,91
📈 Variação anual (prev.): -7.26%
💡 *INSIGHT ESTRATÉGICO*
Estamos na reta final com apenas 3 dias para o fechamento de Janeiro, e o desafio é monumental. A média diária necessária para alcançar a Meta Ouro (R$ 31.548,27) é quase *quatro vezes* nossa performance atual (R$ 8.273,96). Isso sinaliza que o momentum atual não será suficiente para o virar do jogo.
A projeção de fechamento abaixo do ano anterior (-7.26%) é um alerta vermelho que exige uma *intervenção drástica e imediata*. Não podemos nos dar ao luxo de esperar que o fluxo orgânico nos salve. Para mitigar o impacto e buscar um encerramento mais robusto, mesmo que não atinjamos o Ouro, precisamos de um "código vermelho" no campo de vendas.
Minhas recomendações para estas últimas horas são:
1.  **Explosão de Volume em Itens-Chave:** Em vez de tentar inflar o ticket médio em todas as vendas, que tal uma *ação relâmpago focada em bundles de alto giro ou itens complementares* que juntos criem um ticket maior, com um senso de "oportunidade única e esgotável"?
2.  **Reativação Dirigida:** Ativar via SMS/WhatsApp clientes com histórico de compras mais recentes que talvez tenham abandonado um carrinho ou demonstrado interesse em algum produto, oferecendo um bônus ou condição especial para fechamento *hoje*.
3.  **Incentivo de Performance "Extra":** Para a equipe, um bônus de performance de curto prazo focado em vendas acima da média dos últimos dias, talvez atrelado a um item específico de maior valor ou ao número de vendas com ticket médio acima de X.
O foco é gerar um pico de vendas que compense a lacuna, transformando cada hora restante em uma janela de oportunidade imperdível.
📆 Projeção de fechamento: R$ 256.492,61
🗓️ Dias restantes: 3</t>
  </si>
  <si>
    <t>Atualização Comercial – JANEIRO 2026
🔍 *RESUMO*
✔️ Realizado: R$ 231.528,57
📅 Média/dia: R$ 8.268,88
🎫 Ticket médio: R$ 31,92
👥 Atend./dia: 262
🎯 *METAS (vs. OURO)*
Desempenho: 72.80%
Faltam: R$ 86.513,03
(Bronze: R$ 295.916,96 | Prata: R$ 302.830,91 | Ouro: R$ 318.041,60)
📉 *COMPARAÇÕES*
◀️ Média necessária p/ Ouro: R$ 43.256,52
(vs. atual: R$ 8.268,88)
◀️ Janeiro/2025: R$ 276.557,91
📈 Variação anual (prev.): -7.31%
💡 *INSIGHT ESTRATÉGICO*
A reta final de Janeiro nos encontra em um *ponto de inflexão crítica*. Com apenas 2 dias restantes, a média necessária para a Meta Ouro (R$ 43.256,52/dia) é quase 5x nossa performance atual. Nossas projeções indicam um fechamento 7.31% abaixo do ano anterior, sinalizando que as metas mais ambiciosas estão, infelizmente, fora do nosso alcance para este mês.
Neste cenário, a estratégia deve mudar de "conquista de meta" para *"otimização de fechamento e mitigação de perdas"*. Precisamos minimizar a desvantagem em relação ao ano passado e preparar o terreno para um Fevereiro mais assertivo. Minhas recomendações para estas últimas horas são:
1.  **Foco na Margem &amp; Liquidação Estratégica:** Priorizar a venda de produtos com alta margem ou itens de estoque parado que possam ser convertidos em caixa rapidamente, mesmo com descontos pontuais e temporários (ex: "Flash Sale Relâmpago" em categorias selecionadas), para otimizar o capital de giro.
2.  **Upselling/Cross-selling Otimizado:** Incentivar fortemente a equipe para elevar o ticket médio em cada atendimento. Focar em sugerir combos de produtos complementares ou upgrades que ofereçam valor percebido superior ao cliente.
3.  **Reativação Expressa de Clientes:** Lançar uma micro-campanha direcionada a clientes com histórico de compra, mas inativos este mês, ou com um cupom/oferta exclusiva para os próximos 48h, buscando um retorno rápido e volume adicional.
O objetivo é fechar com o melhor resultado possível sob as atuais restrições, sem esgotar recursos em tentativas ineficazes, e garantir que as lições de Janeiro informem imediatamente as estratégias para Fevereiro.
📆 Projeção de fechamento: R$ 256.335,20
🗓️ Dias restantes: 2</t>
  </si>
  <si>
    <t>Atualização Comercial – JANEIRO 2026
🔍 *RESUMO*
✔️ Realizado: R$ 237.900,48
📅 Média/dia: R$ 8.203,46
🎫 Ticket médio: R$ 31,86
👥 Atend./dia: 260
🎯 *METAS (vs. OURO)*
Desempenho: 74.80%
Faltam: R$ 80.141,12
(Bronze: R$ 295.916,96 | Prata: R$ 302.830,91 | Ouro: R$ 318.041,60)
📉 *COMPARAÇÕES*
◀️ Média necessária p/ Ouro: R$ 80.141,12
(vs. atual: R$ 8.203,46)
◀️ Janeiro/2025: R$ 276.557,91
📈 Variação anual (prev.): -8.05%
💡 *INSIGHT ESTRATÉGICO*
Com apenas *um dia restante*, é fundamental reconhecer que as metas de Janeiro (Bronze, Prata e Ouro) estão, lamentavelmente, fora do nosso alcance. A necessidade de R$ 80.141,12 em vendas para atingir o Ouro, contra nossa média atual de R$ 8.203,46, torna a recuperação estatisticamente inviável. Além disso, a projeção de fechamento aponta para um recuo de 8.05% em relação ao mesmo período do ano anterior, sinalizando um alerta crítico.
Para este *último sprint*, nossa estratégia deve ser tática e voltada ao aprendizado e preparação:
1.  **Foco na Margem e Liquidação:** Em vez de focar apenas no volume, priorizar a venda de produtos com maior margem e, simultaneamente, liquidar estoques de giro lento com ofertas agressivas. Isso libera capital e prepara as lojas para o sortimento de Fevereiro.
2.  **Coleta de Insights do Cliente:** Orientar as equipes a coletar feedback direto sobre o que impediu a conversão ou o aumento do ticket médio. Quais foram as objeções? Qual o nível de interesse nas promoções?
3.  **Planejamento de Fevereiro Intensivo:** A prioridade máxima agora é realizar uma análise pós-mortem detalhada para entender as lacunas de Janeiro e construir um **plano de "virada" robusto e agressivo para Fevereiro**. Precisamos de uma revisão imediata das estratégias de fluxo de clientes, conversão de vendas e valor do carrinho para reverter a tendência negativa e garantir que o próximo mês comece com um ritmo acelerado rumo às metas.
📆 Projeção de fechamento: R$ 254.307,41
🗓️ Dias restantes: 1</t>
  </si>
  <si>
    <t>Atualização Comercial – JANEIRO 2026
🔍 *RESUMO*
✔️ Realizado: R$ 246.486,81
📅 Média/dia: R$ 8.216,23
🎫 Ticket médio: R$ 31,87
👥 Atend./dia: 260
🎯 *METAS (vs. OURO)*
Desempenho: 77.50%
Faltam: R$ 71.554,79
(Bronze: R$ 295.916,96 | Prata: R$ 302.830,91 | Ouro: R$ 318.041,60)
📉 *COMPARAÇÕES*
◀️ Média necessária p/ Ouro: R$ 0,00
(vs. atual: R$ 8.216,23)
◀️ Janeiro/2025: R$ 276.557,91
📈 Variação anual (prev.): -7.90%
💡 *INSIGHT ESTRATÉGICO*
Janeiro/2026 encerra-se com um desempenho que exige nossa atenção e uma rápida *análise de diagnóstico*. O valor realizado de R$ 246.486,81 não apenas ficou aquém de todas as metas estabelecidas (Bronze, Prata e Ouro), mas também representa uma queda significativa de **-10.87%** em relação ao mesmo período do ano anterior (R$ 276.557,91 em Jan/2025). É vital notarmos que a performance final ficou até abaixo da projeção inicial do mês (R$ 254.703,04), indicando que os desafios se intensificaram ao longo do período.
Não se trata apenas de 'faltar X para a meta', mas de entender a fundo o que comprometeu o volume. O ticket médio e os atendimentos diários, embora estáveis, não compensaram a possível queda no tráfego qualificado ou na taxa de conversão geral.
**Nossa prioridade agora é uma "autópsia" de janeiro e uma estratégia de *recomposição* imediata para fevereiro:**
1.  **Deep Dive nas Vendas Perdidas:** Identificar segmentos de clientes que diminuíram a frequência ou valor de compra, categorias de produtos com baixo giro, e a eficácia real das ações promocionais que não atingiram o resultado esperado.
2.  **Ação Tática de Volume para Fevereiro:** Desenvolver rapidamente campanhas focadas em *geração de tráfego qualificado* (ex: eventos de experiência na loja, parcerias locais estratégicas) e ofertas de *cesta de valor* que incentivam um maior volume por transação, não apenas o ticket médio isolado.
3.  **Reforço em Campo:** Capacitar a equipe para identificar e aproveitar cada oportunidade de venda, transformando atendimentos em *receita maximizada* desde o primeiro dia de fevereiro, com foco em *venda complementar e proatividade*.
É hora de virar a chave, aprendendo com janeiro para acelerar em fevereiro.
📆 Projeção de fechamento: R$ 254.703,04
🗓️ Dias restantes: 0</t>
  </si>
  <si>
    <t>Atualização Comercial – FEVEREIRO 2026
🔍 *RESUMO*
✔️ Realizado: R$ 8.256,30
📅 Média/dia: R$ 8.256,30
🎫 Ticket médio: R$ 33,98
👥 Atend./dia: 244
🎯 *METAS (vs. OURO)*
Desempenho: 2.62%
Faltam: R$ 307.214,55
(Bronze: R$ 293.525,05 | Prata: R$ 300.383,12 | Ouro: R$ 315.470,85)
📉 *COMPARAÇÕES*
◀️ Média necessária p/ Ouro: R$ 11.815,94
(vs. atual: R$ 8.256,30)
◀️ Fevereiro/2025: R$ 274.322,48
📈 Variação anual (prev.): -15.73%
💡 *INSIGHT ESTRATÉGICO*
Diretoria, a decolagem de Fevereiro está mais lenta que o previsto. Com uma média diária atual de R$ 8.256,30, projetamos um fechamento 15.73% abaixo do ano anterior e um déficit diário de R$ 3.559,64 para a Meta Ouro. É crucial reverter essa rota agora: precisamos de um *sprint* focado em aumentar o Ticket Médio (R$ 33,98) e a conversão dos 244 atendimentos diários. Recomendo ativação imediata de combos de valor agregado e um olhar cirúrgico sobre os *gaps* que nos separam do sucesso de Fevereiro/2025.
📆 Projeção de fechamento: R$ 231.176,40
🗓️ Dias restantes: 26</t>
  </si>
  <si>
    <t>Atualização Comercial – FEVEREIRO 2026
🔍 *RESUMO*
✔️ Realizado: R$ 16.383,17
📅 Média/dia: R$ 8.191,58
🎫 Ticket médio: R$ 32,19
👥 Atend./dia: 255
🎯 *METAS (vs. OURO)*
Desempenho: 5.19%
Faltam: R$ 299.087,68
(Bronze: R$ 293.525,05 | Prata: R$ 300.383,12 | Ouro: R$ 315.470,85)
📉 *COMPARAÇÕES*
◀️ Média necessária p/ Ouro: R$ 11.963,51
(vs. atual: R$ 8.191,58)
◀️ Fevereiro/2025: R$ 274.322,48
📈 Variação anual (prev.): -16.39%
💡 *INSIGHT ESTRATÉGICO*
Fevereiro inicia com um sinal de alerta: nossa projeção atual nos coloca 16,39% abaixo do ano anterior e nossa média diária está R$ 3.771,93 aquém do necessário para atingir a Meta Ouro. Com 255 atendimentos/dia, o fluxo existe, mas o Ticket Médio de R$ 32,19 é um ponto chave para alavancar. É como ter um motor potente, mas não o abastecer completamente. Precisamos focar em *maximizar cada interação*. Sugiro uma blitz de *upsell e cross-sell* focada em produtos de maior margem ou na criação de combos temáticos irresistíveis que elevem o valor percebido e o gasto por cliente. Que tal um "Combo Volta às Aulas" ou "Pack Família"? Vamos capacitar a equipe para identificar essas oportunidades em cada atendimento, garantindo que o cliente saia com mais valor e nós, com maior receita.
📆 Projeção de fechamento: R$ 229.364,38
🗓️ Dias restantes: 25</t>
  </si>
  <si>
    <t>Atualização Comercial – FEVEREIRO 2026
🔍 *RESUMO*
✔️ Realizado: R$ 24.245,92
📅 Média/dia: R$ 8.081,97
🎫 Ticket médio: R$ 31,16
👥 Atend./dia: 261
🎯 *METAS (vs. OURO)*
Desempenho: 7.69%
Faltam: R$ 291.224,93
(Bronze: R$ 293.525,05 | Prata: R$ 300.383,12 | Ouro: R$ 315.470,85)
📉 *COMPARAÇÕES*
◀️ Média necessária p/ Ouro: R$ 12.134,37
(vs. atual: R$ 8.081,97)
◀️ Fevereiro/2025: R$ 274.322,48
📈 Variação anual (prev.): -17.51%
💡 *INSIGHT ESTRATÉGICO*
Estamos no 3º dia e os números acendem um alerta: nossa média diária (R$ 8.081,97) está 33% abaixo do necessário para a Meta Ouro (R$ 12.134,37/dia). A projeção de -17.51% vs. Fevereiro/2025 é um sinal claro de que o ritmo atual não sustenta nossas ambições.
O ponto chave é o volume: temos bom tráfego (261 atendimentos/dia), mas o ticket médio de R$ 31,16 é muito baixo. Não estamos perdendo clientes, mas sim perdendo valor em cada interação.
**Recomendação prioritária:** Mudar a estratégia de transação focando em **upselling e cross-selling**. Sugiro a implementação de um **"Desafio do Ticket Médio"** para a equipe, com incentivos claros e treinamento pontual. Além disso, precisamos de **combos de produtos ou ofertas de "leve mais por menos"** visíveis e atraentes já para amanhã. O mês está no começo, temos margem para recalibrar a rota e transformar cada atendimento em uma venda de maior valor.
📆 Projeção de fechamento: R$ 226.295,25
🗓️ Dias restantes: 24</t>
  </si>
  <si>
    <t>Atualização Comercial – FEVEREIRO 2026
🔍 *RESUMO*
✔️ Realizado: R$ 32.350,53
📅 Média/dia: R$ 8.087,63
🎫 Ticket médio: R$ 31,35
👥 Atend./dia: 260
🎯 *METAS (vs. OURO)*
Desempenho: 10.25%
Faltam: R$ 283.120,32
(Bronze: R$ 293.525,05 | Prata: R$ 300.383,12 | Ouro: R$ 315.470,85)
📉 *COMPARAÇÕES*
◀️ Média necessária p/ Ouro: R$ 12.309,58
(vs. atual: R$ 8.087,63)
◀️ Fevereiro/2025: R$ 274.322,48
📈 Variação anual (prev.): -17.45%
💡 *INSIGHT ESTRATÉGICO*
Análise inicial de Fevereiro revela um desafio significativo: nossa média diária atual (R$ 8.087,63) está R$ 4.221,95 abaixo do ritmo necessário para a Meta Ouro, projetando um fechamento 17.45% inferior ao ano anterior. Com 260 atendimentos/dia e ticket médio de R$ 31,35, o gargalo não está na afluência, mas na otimização de cada venda. É cedo no mês, mas a proatividade é fundamental.
💡 *Ações Prioritárias:*
1.  **Estratégia "Cesta de Valor":** Focar em elevar o ticket médio através de combos inteligentes de produtos complementares ou promoções 'leve mais e economize' que incentivem um maior volume por transação, tornando a oferta irresistível.
2.  **Desafio de Up-selling/Cross-selling:** Lançar um desafio interno com metas e incentivos claros para a equipe, visando aumentar o número de itens por compra e o valor da cesta, transformando cada atendimento em uma oportunidade maximizada.
3.  **Reativação Inteligente:** Segmentar e contatar ativamente clientes que compraram no Fevereiro de 2025 e ainda não retornaram este ano, com ofertas personalizadas que os convidem de volta. É crucial virar este jogo nas próximas semanas, e estes clientes já conhecem nossa proposta de valor.
📆 Projeção de fechamento: R$ 226.453,71
🗓️ Dias restantes: 23</t>
  </si>
  <si>
    <t>Atualização Comercial – FEVEREIRO 2026
🔍 *RESUMO*
✔️ Realizado: R$ 39.449,22
📅 Média/dia: R$ 7.889,84
🎫 Ticket médio: R$ 30,56
👥 Atend./dia: 260
🎯 *METAS (vs. OURO)*
Desempenho: 12.50%
Faltam: R$ 276.021,63
(Bronze: R$ 293.525,05 | Prata: R$ 300.383,12 | Ouro: R$ 315.470,85)
📉 *COMPARAÇÕES*
◀️ Média necessária p/ Ouro: R$ 12.546,44
(vs. atual: R$ 7.889,84)
◀️ Fevereiro/2025: R$ 274.322,48
📈 Variação anual (prev.): -19.47%
💡 *INSIGHT ESTRATÉGICO*
Nossa trajetória atual aponta para um fechamento que nos deixará significativamente aquém da Meta Ouro e, mais preocupante, quase 20% abaixo do resultado de Fevereiro/2025. A média diária necessária (R$ 12.546,44) é um salto considerável em relação ao nosso ritmo atual (R$ 7.889,84), indicando que precisamos de um "choque de gestão" imediato para "recalibrar o GPS" do mês.
Recomendações urgentes para mudar a rota:
1.  **Potencializar o Ticket Médio (TM)**: Com 260 atendimentos/dia, temos a base para crescer. Foco em *upselling* estratégico, sugerindo itens complementares ou de maior valor, com incentivos diários claros para a equipe.
2.  **"Sprint" de Produtos Chave**: Lançar uma micro-campanha de 3 dias (ex: "Fim de Semana de Oportunidades") em categorias de alto giro ou margem, com promoções específicas que estimulem o volume ou o ticket mais alto.
3.  **Análise de Conversão**: Mergulhar na taxa de conversão do fluxo de loja. Estamos perdendo vendas no balcão? Treinamento intensivo sobre técnicas de venda e atendimento consultivo pode ser a chave para otimizar cada interação.
Precisamos de ações coordenadas para reverter essa projeção e buscar os objetivos de Fevereiro.
📆 Projeção de fechamento: R$ 220.915,63
🗓️ Dias restantes: 22</t>
  </si>
  <si>
    <t>Atualização Comercial – FEVEREIRO 2026
🔍 *RESUMO*
✔️ Realizado: R$ 49.179,67
📅 Média/dia: R$ 8.196,61
🎫 Ticket médio: R$ 30,95
👥 Atend./dia: 268
🎯 *METAS (vs. OURO)*
Desempenho: 16.60%
Faltam: R$ 247.088,61
(Bronze: R$ 288.038,60 | Prata: R$ 292.153,44 | Ouro: R$ 296.268,28)
📉 *COMPARAÇÕES*
◀️ Média necessária p/ Ouro: R$ 11.766,12
(vs. atual: R$ 8.196,61)
◀️ Fevereiro/2025: R$ 274.322,48
📈 Variação anual (prev.): -16.34%
💡 *INSIGHT ESTRATÉGICO*
Estamos navegando em um cenário desafiador para a Meta Ouro, demandando um salto de 43.5% na média diária (R$ 3.569,51/dia a mais). Com 21 dias e um volume robusto de 268 atendimentos/dia, o fluxo de clientes não é o gargalo. A questão reside em maximizar o valor de cada interação. Sugiro um *foco tático imediato na elevação do Ticket Médio de R$ 30,95*. Isso pode ser alcançado através de:
1.  *Treinamento intensivo da equipe em upselling e cross-selling*, com metas claras por vendedor para aumento do valor do carrinho.
2.  Criação de *kits promocionais ou ofertas de produtos complementares* que incentivem a compra de itens adicionais.
3.  Revisão da *exposição de produtos de maior valor e margem* em pontos estratégicos.
Essa abordagem é vital para transformar o alto tráfego em vendas mais qualificadas e reverter a projeção de -16.34% vs. ano anterior.
📆 Projeção de fechamento: R$ 229.505,13
🗓️ Dias restantes: 21</t>
  </si>
  <si>
    <t>Atualização Comercial – FEVEREIRO 2026
🔍 *RESUMO*
✔️ Realizado: R$ 61.706,33
📅 Média/dia: R$ 8.815,19
🎫 Ticket médio: R$ 31,68
👥 Atend./dia: 282
🎯 *METAS (vs. OURO)*
Desempenho: 20.83%
Faltam: R$ 234.561,95
(Bronze: R$ 288.038,60 | Prata: R$ 292.153,44 | Ouro: R$ 296.268,28)
📉 *COMPARAÇÕES*
◀️ Média necessária p/ Ouro: R$ 11.728,10
(vs. atual: R$ 8.815,19)
◀️ Fevereiro/2025: R$ 274.322,48
📈 Variação anual (prev.): -10.02%
💡 *INSIGHT ESTRATÉGICO*
Fevereiro começou com um ritmo que nos coloca em alerta: a projeção atual indica um fechamento 10.02% abaixo do ano anterior, e o salto para a Meta Ouro exige uma performance diária de R$ 11.728,10, bem acima da média atual. Não podemos deixar o "bonde da meta" passar!
Para recapturar o terreno e virar o jogo nos próximos 20 dias, sugiro um ataque em duas frentes:
1.  **"Desacelera a Escolha, Acelera o Valor":** Foco em estratégias de *upselling e cross-selling agressivas*. Podemos lançar um "Upgrade Turbo" – um incentivo ou promoção especial para clientes que adicionam um segundo item de maior valor ou optam pela versão premium de um produto, elevando nosso ticket médio de R$ 31,68.
2.  **"Magnetismo de Clientes":** Para alavancar os 282 atendimentos diários, precisamos criar "ondas de tráfego". Uma "Blitz de Reativação" via SMS/WhatsApp para clientes inativos ou de frequência moderada, oferecendo um benefício exclusivo e de curta duração para visitas nos próximos dias (ex: "última chance para [benefício]"), pode gerar picos de fluxo.
É hora de injetar essa energia estratégica para que cada dia que resta nos aproxime do Ouro e inverta a tendência negativa em relação a 2025.
📆 Projeção de fechamento: R$ 246.825,32
🗓️ Dias restantes: 20</t>
  </si>
  <si>
    <t>Atualização Comercial – FEVEREIRO 2026
🔍 *RESUMO*
✔️ Realizado: R$ 71.855,85
📅 Média/dia: R$ 8.981,98
🎫 Ticket médio: R$ 33,14
👥 Atend./dia: 274
🎯 *METAS (vs. OURO)*
Desempenho: 24.25%
Faltam: R$ 224.412,43
(Bronze: R$ 288.038,60 | Prata: R$ 292.153,44 | Ouro: R$ 296.268,28)
📉 *COMPARAÇÕES*
◀️ Média necessária p/ Ouro: R$ 11.811,18
(vs. atual: R$ 8.981,98)
◀️ Fevereiro/2025: R$ 274.322,48
📈 Variação anual (prev.): -8.32%
💡 *INSIGHT ESTRATÉGICO*
A performance atual acende um alerta: estamos projetando um fevereiro abaixo do ano anterior (-8.32%) e com um déficit diário considerável (R$ 2.8k) para atingir a meta Ouro. É hora de ativar um "boost" duplo e calibrar nosso GPS para o alvo:
1.  **Maximização do Ticket:** Reforçar imediatamente estratégias de cross-selling e up-selling na frente de caixa, talvez com sugestões de combos irresistíveis ou "leve o segundo item com X% de desconto" para impulsionar o valor por atendimento.
2.  **Atração de Fluxo:** Lançar uma micro-campanha de reativação de clientes via WhatsApp/e-mail ou promoções "relâmpago" em horários de menor movimento para injetar volume de atendimentos e converter novos visitantes.
Aceleremos essas alavancas de forma coordenada para virar o jogo neste terço final do mês.
📆 Projeção de fechamento: R$ 251.495,48
🗓️ Dias restantes: 19</t>
  </si>
  <si>
    <t>Atualização Comercial – FEVEREIRO 2026
🔍 *RESUMO*
✔️ Realizado: R$ 79.760,81
📅 Média/dia: R$ 8.862,31
🎫 Ticket médio: R$ 31,83
👥 Atend./dia: 274
🎯 *METAS (vs. OURO)*
Desempenho: 26.92%
Faltam: R$ 216.507,47
(Bronze: R$ 288.038,60 | Prata: R$ 292.153,44 | Ouro: R$ 296.268,28)
📉 *COMPARAÇÕES*
◀️ Média necessária p/ Ouro: R$ 12.028,19
(vs. atual: R$ 8.862,31)
◀️ Fevereiro/2025: R$ 274.322,48
📈 Variação anual (prev.): -9.54%
💡 *INSIGHT ESTRATÉGICO*
Nossa jornada para o Ouro está exigindo um salto significativo: a média diária necessária de R$ 12.028,19 está bem acima dos R$ 8.862,31 atuais, e a projeção nos coloca 9.54% abaixo do ano anterior. O ponto de alavancagem não é a quantidade de clientes (274 atendimentos/dia é robusto), mas sim o "valor da cesta" de cada um. O Ticket Médio de R$ 31,83 precisa escalar para R$ 43,90 nos próximos 18 dias para que a Meta Ouro seja alcançada.
Sugestões para virar o jogo:
1.  **Potencializar o 'Carrinho Médio':** Implementar um programa intensivo de treinamento para a equipe de vendas, focado em técnicas de up-selling e cross-selling de itens complementares e de maior margem.
2.  **Ofertas Estratégicas de Bundles:** Criar e promover agressivamente combos e kits de produtos que agreguem valor percebido e incentivem a compra de mais itens por cliente.
3.  **Incentivo por Performance:** Estabelecer um bônus de vendas direcionado especificamente ao aumento do Ticket Médio, motivando a equipe a maximizar cada transação.
Acelerar o valor por atendimento é a rota mais promissora para reverter a tendência.
📆 Projeção de fechamento: R$ 248.144,74
🗓️ Dias restantes: 18</t>
  </si>
  <si>
    <t>Atualização Comercial – FEVEREIRO 2026
🔍 *RESUMO*
✔️ Realizado: R$ 88.952,54
📅 Média/dia: R$ 8.895,25
🎫 Ticket médio: R$ 32,32
👥 Atend./dia: 272
🎯 *METAS (vs. OURO)*
Desempenho: 30.02%
Faltam: R$ 207.315,74
(Bronze: R$ 288.038,60 | Prata: R$ 292.153,44 | Ouro: R$ 296.268,28)
📉 *COMPARAÇÕES*
◀️ Média necessária p/ Ouro: R$ 12.195,04
(vs. atual: R$ 8.895,25)
◀️ Fevereiro/2025: R$ 274.322,48
📈 Variação anual (prev.): -9.21%
💡 *INSIGHT ESTRATÉGICO*
Nossa 'altitude de cruzeiro' diária (R$ 8.895,25) está significativamente abaixo da rota para a Meta Ouro (R$ 12.195,04/dia). Com 17 dias e uma projeção que nos deixa 9.21% abaixo do ano anterior, é vital uma *correção de curso imediata*.
O alto volume de atendimentos (272/dia) e o Ticket Médio de R$ 32,32 indicam que estamos perdendo a chance de maximizar cada interação. A pista para acelerar está em:
1.  **'Decolagem do Ticket':** Foco intensivo em up-selling e cross-selling. Treinar a equipe para apresentar "combos estratégicos" ou "sugestões complementares" que aumentem o valor da compra média, visando R$ 40-R$ 45.
2.  **'Propulsores de Valor Agregado':** Campanha de 'Adicione Mais e Ganhe' (Ex: um desconto progressivo ou brinde ao atingir determinado valor de compra) para incentivar cestas maiores.
3.  **'Reabastecimento Rápido':** Considerar micro-metas diárias agressivas por loja/equipe, com foco na superação do ticket médio e da média diária necessária, com reconhecimento rápido para manter o moral e o foco.
Precisamos elevar o desempenho por atendimento para ganhar a altitude necessária e reverter a projeção.
📆 Projeção de fechamento: R$ 249.067,11
🗓️ Dias restantes: 17</t>
  </si>
  <si>
    <t>Atualização Comercial – FEVEREIRO 2026
🔍 *RESUMO*
✔️ Realizado: R$ 89.753,76
📅 Média/dia: R$ 8.159,43
🎫 Ticket médio: R$ 29,96
👥 Atend./dia: 269
🎯 *METAS (vs. OURO)*
Desempenho: 30.29%
Faltam: R$ 206.514,52
(Bronze: R$ 288.038,60 | Prata: R$ 292.153,44 | Ouro: R$ 296.268,28)
📉 *COMPARAÇÕES*
◀️ Média necessária p/ Ouro: R$ 12.907,16
(vs. atual: R$ 8.159,43)
◀️ Fevereiro/2025: R$ 274.322,48
📈 Variação anual (prev.): -16.72%
💡 *INSIGHT ESTRATÉGICO*
Estamos com apenas 30.29% da Meta Ouro, exigindo um salto diário de R$ 8.159 para R$ 12.907 nos 16 dias restantes. A projeção de fechamento em R$ 228k, significativamente abaixo de 2025 (-16.72%), acende um alerta. Com um *Ticket Médio de R$ 29,96* e 269 atendimentos diários, temos um motor girando, mas sem potência máxima. A chave não é apenas aumentar a frequência, mas sim o "combustível" em cada transação. Proponho um *plano de aceleração focando no valor*. Precisamos otimizar cada interação: incentivar combos de produtos com maior margem, programas de *upselling* que elevem o ticket médio para R$ 40-50, e treinar a equipe para maximizar o potencial de cada cliente que já está na loja. É hora de extrair mais valor de cada oportunidade gerada.
📆 Projeção de fechamento: R$ 228.464,12
🗓️ Dias restantes: 16</t>
  </si>
  <si>
    <t>Atualização Comercial – FEVEREIRO 2026
🔍 *RESUMO*
✔️ Realizado: R$ 103.343,76
📅 Média/dia: R$ 8.611,98
🎫 Ticket médio: R$ 31,95
👥 Atend./dia: 267
🎯 *METAS (vs. OURO)*
Desempenho: 34.88%
Faltam: R$ 192.924,52
(Bronze: R$ 288.038,60 | Prata: R$ 292.153,44 | Ouro: R$ 296.268,28)
📉 *COMPARAÇÕES*
◀️ Média necessária p/ Ouro: R$ 12.861,63
(vs. atual: R$ 8.611,98)
◀️ Fevereiro/2025: R$ 274.322,48
📈 Variação anual (prev.): -12.10%
💡 *INSIGHT ESTRATÉGICO*
A atual velocidade de vendas nos coloca em uma rota de colisão: a projeção não alcança sequer a Meta Bronze e aponta para uma retração preocupante de mais de 12% em relação a Fevereiro do ano passado. O gargalo é claro: com 15 dias restantes, precisamos escalar a média diária em quase 50% (de R$ 8.611,98 para R$ 12.861,63). Nosso Ticket Médio de R$ 31,95 é o calcanhar de Aquiles aqui.
A estratégia precisa ser um **"salto quântico" no valor da cesta de compras**. Recomendo focar em **incentivos agressivos de "leve mais por menos" com combos inteligentes e produtos complementares de maior valor agregado**. Precisamos engajar nossa equipe em um **desafio de "multiplicador de ticket", com metas diárias claras para elevar o valor de cada atendimento**. Focar na venda de volume (itens) e, principalmente, no preço médio por item, pode ser o diferencial para mudarmos essa trajetória crítica.
📆 Projeção de fechamento: R$ 241.135,44
🗓️ Dias restantes: 15</t>
  </si>
  <si>
    <t>Atualização Comercial – FEVEREIRO 2026
🔍 *RESUMO*
✔️ Realizado: R$ 113.956,40
📅 Média/dia: R$ 8.765,88
🎫 Ticket médio: R$ 32,33
👥 Atend./dia: 269
🎯 *METAS (vs. OURO)*
Desempenho: 38.46%
Faltam: R$ 182.311,88
(Bronze: R$ 288.038,60 | Prata: R$ 292.153,44 | Ouro: R$ 296.268,28)
📉 *COMPARAÇÕES*
◀️ Média necessária p/ Ouro: R$ 13.022,28
(vs. atual: R$ 8.765,88)
◀️ Fevereiro/2025: R$ 274.322,48
📈 Variação anual (prev.): -10.53%
💡 *INSIGHT ESTRATÉGICO*
Estamos em um momento decisivo, onde a 'bússola' da nossa performance aponta para uma correção de rota urgente. A projeção de fechamento, além de distante da Meta Ouro, sinaliza um recuo de 10.53% em relação ao ano anterior, um alerta que exige ação imediata. Manter o ritmo atual nos custará caro.
Minha recomendação é focar em uma estratégia de *intensificação micro-segmentada* para os próximos dias:
1.  **Otimização do Carrinho:** Com 269 atendimentos diários, temos um motor girando, mas precisamos calibrar a 'marcha'. É crucial elevar nosso Ticket Médio. Sugiro a implementação imediata de **mini-desafios diários** para a equipe, focados em *produtos complementares de margem alta*, com recompensas rápidas. Ex: "Aumente 10% do TM hoje com o item X". Ou, explorar a criação de um **"upgrade de valor"** no ponto de venda, onde o cliente, ao adicionar um segundo item, receba um benefício claro (ex: "Leve 2 e ganhe X% de desconto no item de menor valor").
2.  **Ativação Relâmpago de Base:** Com 14 dias restantes, precisamos de picos de venda. Recomendo lançar uma **campanha SMS/WhatsApp segmentada** para clientes que realizaram compras há 30-60 dias, oferecendo um incentivo exclusivo para uma "compra de última hora" em Fevereiro. Isso visa gerar um fluxo de vendas mais denso e imediato para diminuir a lacuna diária.
📆 Projeção de fechamento: R$ 245.444,55
🗓️ Dias restantes: 14</t>
  </si>
  <si>
    <t>Atualização Comercial – FEVEREIRO 2026
🔍 *RESUMO*
✔️ Realizado: R$ 126.115,20
📅 Média/dia: R$ 9.008,23
🎫 Ticket médio: R$ 32,39
👥 Atend./dia: 276
🎯 *METAS (vs. OURO)*
Desempenho: 42.57%
Faltam: R$ 170.153,08
(Bronze: R$ 288.038,60 | Prata: R$ 292.153,44 | Ouro: R$ 296.268,28)
📉 *COMPARAÇÕES*
◀️ Média necessária p/ Ouro: R$ 13.088,70
(vs. atual: R$ 9.008,23)
◀️ Fevereiro/2025: R$ 274.322,48
📈 Variação anual (prev.): -8.05%
💡 *INSIGHT ESTRATÉGICO*
Os dados indicam que estamos em um ponto de inflexão decisivo. Com apenas 13 dias para o fechamento, nossa média diária atual (R$ 9.008,23) precisa de um *sprint de performance* de quase 45% para atingir a Meta Ouro (R$ 13.088,70/dia). A projeção de fechamento abaixo do ano anterior acende um alerta vermelho.
Minha recomendação é acionar uma estratégia de *intensificação focada no valor por atendimento*:
1.  **Otimização do Ticket Médio (TM):** Lançar campanhas agressivas de "leve mais por menos" ou "upgrade com desconto" em produtos de maior margem. Com 276 atendimentos/dia, um aumento de apenas 10% no TM (de R$ 32,39 para R$ 35,63) geraria um impacto significativo na receita diária.
2.  **Incentivos Relâmpago para a Equipe:** Criar um bônus de performance diário ou semanal altamente atrativo para a equipe que superar metas de TM e volume de itens por venda. A motivação extra é crucial neste momento.
3.  **Comunicação de Urgência:** Utilizar nossos canais de relacionamento (WhatsApp/App) para disparar ofertas exclusivas e de tempo limitado que incentivem compras de maior valor nos próximos 72h.
Precisamos de uma resposta ágil e coordenada para reverter a tendência e minimizar o gap em relação à Meta Ouro e ao resultado de 2025.
📆 Projeção de fechamento: R$ 252.230,40
🗓️ Dias restantes: 13</t>
  </si>
  <si>
    <t>Atualização Comercial – FEVEREIRO 2026
🔍 *RESUMO*
✔️ Realizado: R$ 134.330,90
📅 Média/dia: R$ 8.955,39
🎫 Ticket médio: R$ 32,61
👥 Atend./dia: 273
🎯 *METAS (vs. OURO)*
Desempenho: 45.34%
Faltam: R$ 161.937,38
(Bronze: R$ 288.038,60 | Prata: R$ 292.153,44 | Ouro: R$ 296.268,28)
📉 *COMPARAÇÕES*
◀️ Média necessária p/ Ouro: R$ 13.494,78
(vs. atual: R$ 8.955,39)
◀️ Fevereiro/2025: R$ 274.322,48
📈 Variação anual (prev.): -8.59%
💡 *INSIGHT ESTRATÉGICO*
Estamos numa encruzilhada crucial com apenas 12 dias restantes. A projeção atual não apenas nos afasta da Meta Ouro, exigindo um salto diário de R$ 4.539 em faturamento, mas também indica um fechamento **8.59% abaixo** de Fevereiro/2025. O cenário exige mais do que um ajuste; precisamos de uma **virada tática imediata**.
Minhas recomendações são:
1.  **"Otimização do Carrinho" (Ticket Médio):** Com 273 atendimentos diários, há uma mina de ouro no nosso ticket médio de R$ 32,61. Lancemos um desafio interno intenso de *cross-selling* e *upselling* inteligente para a equipe. O foco deve ser em "agregar mais valor" à compra do cliente com um item complementar ou um upgrade, elevando nosso ticket médio para a faixa de R$ 40,00 nos próximos dias.
2.  **"Blitz de Recuperação" por Canais Diretos:** Via WhatsApp/SMS, implementemos uma micro-campanha com uma oferta-relâmpago (24-48h) direcionada a clientes que não compram há 30-60 dias. O objetivo é gerar picos de vendas focados e trazer faturamento incremental rapidamente, atenuando a diferença em relação ao ano anterior sem depender apenas do fluxo de loja.
Atingir o Gold será um desafio colossal, mas podemos e devemos mirar na Meta Prata com esta estratégia agressiva para reverter a tendência de queda em relação ao período homólogo.
📆 Projeção de fechamento: R$ 250.751,01
🗓️ Dias restantes: 12</t>
  </si>
  <si>
    <t>Atualização Comercial – FEVEREIRO 2026
🔍 *RESUMO*
✔️ Realizado: R$ 135.763,80
📅 Média/dia: R$ 8.485,24
🎫 Ticket médio: R$ 32,44
👥 Atend./dia: 260
🎯 *METAS (vs. OURO)*
Desempenho: 45.82%
Faltam: R$ 160.504,48
(Bronze: R$ 288.038,60 | Prata: R$ 292.153,44 | Ouro: R$ 296.268,28)
📉 *COMPARAÇÕES*
◀️ Média necessária p/ Ouro: R$ 14.591,32
(vs. atual: R$ 8.485,24)
◀️ Fevereiro/2025: R$ 274.322,48
📈 Variação anual (prev.): -13.39%
💡 *INSIGHT ESTRATÉGICO*
A análise aponta para um cenário desafiador e exige ação imediata. Estamos a 11 dias do fechamento de fevereiro com uma projeção que não apenas falha em atingir as metas, mas indica um recuo de 13.39% em relação ao ano anterior. O principal alerta é a necessidade de quase dobrarmos a média diária de vendas (R$ 14.591,32) para sequer cogitar a Meta Ouro, sendo que atualmente operamos com R$ 8.485,24.
Para os dias restantes, precisamos ativar um **plano de virada estratégico** focado em otimização de valor por cliente. Minhas recomendações são:
1.  **Foco Intensivo no Ticket Médio:** Implementar 'up-selling' e 'cross-selling' agressivos, com foco em produtos de maior margem ou complementares. Treinamento rápido da equipe para oferecer pacotes/combos irresistíveis.
2.  **Campanhas Relâmpago de Valor:** Criar ofertas de valor agregado (ex: "Leve 2 Pague 1.5", "Na compra de X, ganhe Y") por tempo limitadíssimo, estimulando a decisão de compra imediata e o aumento do valor do carrinho.
3.  **Incentivo Direcionado à Equipe:** Bônus expressos para vendas que superem um novo patamar de ticket médio ou para o fechamento de vendas de produtos-chave.
É hora de 'remar contra a maré' com inteligência e agilidade para mitigar o gap e buscar o máximo possível, mesmo que a Meta Ouro esteja distante.
📆 Projeção de fechamento: R$ 237.586,65
🗓️ Dias restantes: 11</t>
  </si>
  <si>
    <t>Atualização Comercial – FEVEREIRO 2026
🔍 *RESUMO*
✔️ Realizado: R$ 135.763,80
📅 Média/dia: R$ 7.986,11
🎫 Ticket médio: R$ 32,44
👥 Atend./dia: 245
🎯 *METAS (vs. OURO)*
Desempenho: 45.82%
Faltam: R$ 160.504,48
(Bronze: R$ 288.038,60 | Prata: R$ 292.153,44 | Ouro: R$ 296.268,28)
📉 *COMPARAÇÕES*
◀️ Média necessária p/ Ouro: R$ 16.050,45
(vs. atual: R$ 7.986,11)
◀️ Fevereiro/2025: R$ 274.322,48
📈 Variação anual (prev.): -18.49%
💡 *INSIGHT ESTRATÉGICO*
A leitura dos dados é cristalina: estamos navegando em águas turbulentas, com uma projeção de fechamento que nos coloca 18.49% abaixo do ano anterior e muito aquém de qualquer meta. Com apenas 10 dias, a necessidade de dobrarmos nossa performance diária para R$ 16.050,45 é um alerta vermelho. Nosso ticket médio de R$ 32,44 é a chave para essa virada. Sugiro uma "Operação Salto Alto" para os dias restantes, com foco em duas alavancas:
1.  **Mega Up-selling Focado:** Lançar um desafio de "valor por cliente" para a equipe, incentivando agressivamente combos de produtos complementares, ofertas "leve mais, pague proporcionalmente menos" ou "upgrade premium" no ato da compra. O objetivo é elevar o ticket médio para pelo menos R$ 45-50.
2.  **Maratona de Vendas Relâmpago:** Criar mini-metas diárias ambiciosas e um sistema de reconhecimento e incentivo instantâneo para a equipe. Podemos impulsionar a base de clientes com um "flash sale" segmentado, via WhatsApp e redes sociais, focado em produtos de maior margem ou que facilitem o up-selling.
Precisamos de uma performance extraordinária, com foco cirúrgico na elevação do valor de cada atendimento para reverter essa projeção.
📆 Projeção de fechamento: R$ 223.610,96
🗓️ Dias restantes: 10</t>
  </si>
  <si>
    <t>Atualização Comercial – FEVEREIRO 2026
🔍 *RESUMO*
✔️ Realizado: R$ 144.650,72
📅 Média/dia: R$ 8.036,15
🎫 Ticket médio: R$ 32,26
👥 Atend./dia: 248
🎯 *METAS (vs. OURO)*
Desempenho: 48.82%
Faltam: R$ 151.617,56
(Bronze: R$ 288.038,60 | Prata: R$ 292.153,44 | Ouro: R$ 296.268,28)
📉 *COMPARAÇÕES*
◀️ Média necessária p/ Ouro: R$ 16.846,40
(vs. atual: R$ 8.036,15)
◀️ Fevereiro/2025: R$ 274.322,48
📈 Variação anual (prev.): -17.98%
💡 *INSIGHT ESTRATÉGICO*
A performance atual acende um *alerta vermelho*. Faltam apenas 9 dias e precisamos *dobrar* nossa média diária (de R$ 8.036 para R$ 16.846) para sequer almejar a Meta Ouro. Mais preocupante, a projeção aponta para um fechamento quase 18% abaixo do ano passado. Essa é uma *trajetória inaceitável*. Proponho um **plano de emergência imediato**:
1.  **Foco em Ticket Médio:** Priorizar o *upsell* e a venda de combos de produtos de maior margem no PDV, incentivando a equipe com bônus por ticket médio elevado.
2.  **Geração Rápida de Fluxo:** Ativar uma campanha *flash* de reativação para nossa base de clientes inativos, com ofertas exclusivas e limite de tempo, focando em gerar volume e visitas qualificadas nos próximos dias.
Nosso objetivo é claro: **minimizar a lacuna em relação a 2025 e lutar por cada atendimento e cada centavo. É hora de uma virada decisiva.**
📆 Projeção de fechamento: R$ 225.012,23
🗓️ Dias restantes: 9</t>
  </si>
  <si>
    <t>Atualização Comercial – FEVEREIRO 2026
🔍 *RESUMO*
✔️ Realizado: R$ 153.293,00
📅 Média/dia: R$ 8.068,05
🎫 Ticket médio: R$ 32,35
👥 Atend./dia: 248
🎯 *METAS (vs. OURO)*
Desempenho: 51.74%
Faltam: R$ 142.975,28
(Bronze: R$ 288.038,60 | Prata: R$ 292.153,44 | Ouro: R$ 296.268,28)
📉 *COMPARAÇÕES*
◀️ Média necessária p/ Ouro: R$ 17.871,91
(vs. atual: R$ 8.068,05)
◀️ Fevereiro/2025: R$ 274.322,48
📈 Variação anual (prev.): -17.65%
💡 *INSIGHT ESTRATÉGICO*
Estamos na reta final de Fevereiro com um cenário que exige uma aceleração drástica. O objetivo Ouro está a uma distância considerável, demandando uma média diária mais que o dobro da atual. Nossa projeção de fechamento está abaixo até da Meta Bronze e representa uma queda preocupante de quase 18% em relação ao ano anterior.
Precisamos de uma virada de jogo estratégica para os 8 dias restantes. O momento não é para ações genéricas, mas para intervenções de alto impacto. Sugiro focar em três pilares para maximizar o retorno do tempo que nos resta:
1.  **"Pacotes Premium Flash":** Criar e comunicar ofertas relâmpago de produtos complementares ou de maior valor agregado (bundles/kits) com um senso de urgência explícito para o fim do mês. O foco aqui é elevar o Ticket Médio significativamente, transformando um atendimento de R$30 em um de R$70-R$80.
2.  **"Desafio #VendaAdicional":** Lançar um desafio interno focado em métricas específicas para a equipe de vendas. A meta não é apenas 'vender mais', mas 'vender mais itens por atendimento' ou 'aumentar o valor total por cesta'. Incentivar a sugestão de produtos complementares e "upsells" no momento da compra, com um bônus agressivo para quem se destacar nos últimos dias.
3.  **"Convocação VIP de Última Hora":** Utilizar nossos dados de clientes para identificar e contatar diretamente os *clientes de maior valor histórico (top 10-20%)* que não realizaram compras significativas este mês. Oferecer-lhes uma condição exclusiva e altamente personalizada para uma compra final de Fevereiro, visando resgatar grandes volumes perdidos e compensar o déficit.
É um sprint final onde cada atendimento e cada decisão estratégica conta.
📆 Projeção de fechamento: R$ 225.905,47
🗓️ Dias restantes: 8</t>
  </si>
  <si>
    <t>Atualização Comercial – FEVEREIRO 2026
🔍 *RESUMO*
✔️ Realizado: R$ 160.759,89
📅 Média/dia: R$ 8.037,99
🎫 Ticket médio: R$ 32,25
👥 Atend./dia: 248
🎯 *METAS (vs. OURO)*
Desempenho: 54.26%
Faltam: R$ 135.508,39
(Bronze: R$ 288.038,60 | Prata: R$ 292.153,44 | Ouro: R$ 296.268,28)
📉 *COMPARAÇÕES*
◀️ Média necessária p/ Ouro: R$ 19.358,34
(vs. atual: R$ 8.037,99)
◀️ Fevereiro/2025: R$ 274.322,48
📈 Variação anual (prev.): -17.96%
💡 *INSIGHT ESTRATÉGICO*
O cenário atual nos coloca sob forte pressão, com uma projeção de fechamento 17.96% abaixo do ano anterior e uma necessidade de quase triplicar a média diária para sequer vislumbrar o Ouro (R$ 19.358,34 vs. R$ 8.037,99 atual). No entanto, não estamos sem armas: registramos um sólido volume de 248 atendimentos por dia. O desafio está na monetização desse fluxo, evidenciado pelo ticket médio de R$ 32,25.
**Nosso "campo de batalha" para os próximos 7 dias é otimizar o valor de cada carrinho:**
1.  **Incentivo à Venda Adicional (Upselling/Cross-selling):** Lançar um desafio "Relâmpago" para a equipe de linha de frente, com foco em agregar valor à compra. Exemplo: um item complementar com 20% de desconto ao comprar o principal, ou um "combo do dia" com margem otimizada.
2.  **Desafio do "Ticket Acelerado":** Comunicar e premiar o aumento do ticket médio por turno/vendedor. Precisamos que cada atendimento gere mais receita.
3.  **Sinal de Alerta Estrutural:** A projeção de -17.96% ano a ano é um *indicador crítico* que não pode ser ignorado. Precisamos, com urgência, após o fechamento do mês, mergulhar em uma análise profunda das causas dessa retração para redefinir estratégias e modelos que garantam a recuperação e o crescimento a partir de Março.
📆 Projeção de fechamento: R$ 225.063,85
🗓️ Dias restantes: 7</t>
  </si>
  <si>
    <t>Atualização Comercial – FEVEREIRO 2026
🔍 *RESUMO*
✔️ Realizado: R$ 175.930,61
📅 Média/dia: R$ 8.377,65
🎫 Ticket médio: R$ 32,68
👥 Atend./dia: 255
🎯 *METAS (vs. OURO)*
Desempenho: 59.38%
Faltam: R$ 120.337,67
(Bronze: R$ 288.038,60 | Prata: R$ 292.153,44 | Ouro: R$ 296.268,28)
📉 *COMPARAÇÕES*
◀️ Média necessária p/ Ouro: R$ 20.056,28
(vs. atual: R$ 8.377,65)
◀️ Fevereiro/2025: R$ 274.322,48
📈 Variação anual (prev.): -14.49%
💡 *INSIGHT ESTRATÉGICO*
O cenário para a Meta Ouro é desafiador: nos 6 dias restantes, a média diária necessária de R$ 20.056 é 2.4x maior que a atual. Nossa projeção aponta uma queda de 14.49% vs. ano anterior, indicando que a urgência é máxima e exige uma **intervenção cirúrgica** e focada. Não podemos nos dar ao luxo de esperar.
A chave está em **"engordar" cada venda** e acelerar o ritmo:
1.  **Ofertas de Alto Impacto (Última Chamada):** Com 255 atendimentos/dia e um ticket médio de R$ 32,68, há uma margem enorme para combos estratégicos e *upsells* irresistíveis. Implementar "Kits de Fechamento de Mês" ou "Leve 2, Pague 1 e Meio" que incentivem o cliente a adicionar valor à sua compra de forma imediata.
2.  **Micrometrificação Agressiva:** Quebrar a meta diária de R$ 20.056,28 em objetivos horários/por vendedor, com um sistema de premiação ou reconhecimento instantâneo para quem bater a meta de ticket médio *e* volume por período. Criar um "painel de desempenho relâmpago" para manter a equipe engajada.
3.  **Reativação Inteligente e Veloz:** Disparar campanhas segmentadas via WhatsApp ou SMS para clientes que visitaram a loja, abandonaram carrinhos online ou compraram produtos específicos no mês passado, oferecendo um *incentivo exclusivo de validade super curta* para fecharem a compra nos próximos 48-72h.
A agilidade na execução destas táticas será vital para mitigar a lacuna e tentar se aproximar das metas.
📆 Projeção de fechamento: R$ 234.574,15
🗓️ Dias restantes: 6</t>
  </si>
  <si>
    <t>Atualização Comercial – FEVEREIRO 2026
🔍 *RESUMO*
✔️ Realizado: R$ 184.768,73
📅 Média/dia: R$ 8.398,58
🎫 Ticket médio: R$ 32,75
👥 Atend./dia: 256
🎯 *METAS (vs. OURO)*
Desempenho: 62.37%
Faltam: R$ 111.499,55
(Bronze: R$ 288.038,60 | Prata: R$ 292.153,44 | Ouro: R$ 296.268,28)
📉 *COMPARAÇÕES*
◀️ Média necessária p/ Ouro: R$ 22.299,91
(vs. atual: R$ 8.398,58)
◀️ Fevereiro/2025: R$ 274.322,48
📈 Variação anual (prev.): -14.28%
💡 *INSIGHT ESTRATÉGICO*
Fevereiro está se encaminhando para um fechamento que exige nossa máxima atenção. A projeção atual (R$ 235.160,20) não só nos distancia da Meta Ouro, como nos deixa abaixo da Meta Bronze e com uma performance *14.28% inferior ao mesmo mês do ano anterior*. A distância para atingir o Ouro é grande, exigindo uma média diária nos últimos 5 dias que é quase o triplo da nossa média atual (R$ 22.299,91 vs. R$ 8.398,58).
Neste cenário de "tudo ou nada" para a reta final, a estratégia deve ser maximizar o valor de cada interação e iniciar o aprendizado para o próximo ciclo:
1.  **Foco em Basket Size:** Com um ticket médio de R$ 32,75, o potencial para elevar o valor médio da compra é alto. Capacitar a equipe a realizar vendas adicionais e sugestões de combos irresistíveis que aumentem o valor do carrinho em cada atendimento.
2.  **Campanha "Últimos Dias" com Limite de Tempo:** Criar ofertas agressivas e com prazo final para os próximos 5 dias, focando em produtos de alto giro ou margem, para gerar um pico de demanda. A urgência pode converter mais vendas e trazer os clientes que estavam indecisos.
3.  **Análise Pós-Mês Imersiva:** Embora o foco imediato seja nos últimos dias, é crucial planejar uma imersão nos dados de Fevereiro para entender as causas raiz da subperformance em relação às metas e ao ano anterior. Precisamos desvendar o que não funcionou para construir um plano de ação robusto para Março e não repetir o padrão.
📆 Projeção de fechamento: R$ 235.160,20
🗓️ Dias restantes: 5</t>
  </si>
  <si>
    <t>Atualização Comercial – FEVEREIRO 2026
🔍 *RESUMO*
✔️ Realizado: R$ 191.879,78
📅 Média/dia: R$ 8.342,60
🎫 Ticket médio: R$ 32,69
👥 Atend./dia: 254
🎯 *METAS (vs. OURO)*
Desempenho: 64.77%
Faltam: R$ 104.388,50
(Bronze: R$ 288.038,60 | Prata: R$ 292.153,44 | Ouro: R$ 296.268,28)
📉 *COMPARAÇÕES*
◀️ Média necessária p/ Ouro: R$ 26.097,13
(vs. atual: R$ 8.342,60)
◀️ Fevereiro/2025: R$ 274.322,48
📈 Variação anual (prev.): -14.85%
💡 *INSIGHT ESTRATÉGICO*
Fevereiro entra na reta final com um desafio expressivo: a projeção atual nos coloca 14.85% abaixo do ano anterior e a Meta Ouro está a uma distância que exigiria triplicar nossa performance diária nos últimos 4 dias. O gargalo não é volume de atendimento, mas sim o valor transacionado por dia. É o momento de uma intervenção cirúrgica no ticket médio. Proponho uma estratégia de 'alavancagem rápida': *1) Flash Sale de produtos complementares com alta margem*; *2) Desconto progressivo por volume (Ex: 'Leve 2, pague 1.5' ou 'Compre X, ganhe Y')* para aumentar o valor do carrinho; *3) Ativação direcionada da base de clientes premium* via comunicação direta com ofertas exclusivas. O objetivo é maximizar cada atendimento e impulsionar a receita nos últimos segundos do jogo para mitigar a queda e buscar, no mínimo, a Meta Bronze.
📆 Projeção de fechamento: R$ 233.592,78
🗓️ Dias restantes: 4</t>
  </si>
  <si>
    <t>Atualização Comercial – FEVEREIRO 2026
🔍 *RESUMO*
✔️ Realizado: R$ 199.778,01
📅 Média/dia: R$ 8.324,08
🎫 Ticket médio: R$ 32,71
👥 Atend./dia: 254
🎯 *METAS (vs. OURO)*
Desempenho: 67.43%
Faltam: R$ 96.490,27
(Bronze: R$ 288.038,60 | Prata: R$ 292.153,44 | Ouro: R$ 296.268,28)
📉 *COMPARAÇÕES*
◀️ Média necessária p/ Ouro: R$ 32.163,42
(vs. atual: R$ 8.324,08)
◀️ Fevereiro/2025: R$ 274.322,48
📈 Variação anual (prev.): -15.04%
💡 *INSIGHT ESTRATÉGICO*
A contagem regressiva para o fechamento de Fevereiro aponta um cenário de alta complexidade. A Meta Ouro, embora ambiciosa, hoje exigiria uma média diária quadruplicada nos últimos 3 dias, um patamar extremamente desafiador. Mais crítico ainda é a projeção de encerramento do mês em R$ 233.074,35, marcando uma retração de 15% em relação ao ano anterior.
Nossa missão para estes últimos dias muda o foco de "atingir Ouro" para "blindar a performance e minimizar a lacuna anual". Com uma média sólida de 254 atendimentos diários, mas um ticket médio de apenas R$ 32,71, o gargalo não está na afluência de clientes, mas no valor de cada transação. Sugiro uma mobilização focada e estratégica:
1.  **Foco no Mix:** Priorizar a venda de produtos de maior margem ou itens de maior valor agregado através de scripts de venda para a equipe.
2.  **Incentivo à Próxima Compra:** Lançar uma ação de "compre hoje, ganhe um desconto x% na próxima compra em Março" para diluir o impacto negativo do ticket médio atual e já aquecer o próximo mês.
3.  **Avaliação Pós-Fechamento Imediata:** Iniciar já o plano de análise das causas da queda percentual YoY para corrigir rotas e evitar a repetição em Março, antes que se torne um padrão.
📆 Projeção de fechamento: R$ 233.074,35
🗓️ Dias restantes: 3</t>
  </si>
  <si>
    <t>Atualização Comercial – FEVEREIRO 2026
🔍 *RESUMO*
✔️ Realizado: R$ 206.470,06
📅 Média/dia: R$ 8.258,80
🎫 Ticket médio: R$ 32,65
👥 Atend./dia: 252
🎯 *METAS (vs. OURO)*
Desempenho: 69.69%
Faltam: R$ 89.798,22
(Bronze: R$ 288.038,60 | Prata: R$ 292.153,44 | Ouro: R$ 296.268,28)
📉 *COMPARAÇÕES*
◀️ Média necessária p/ Ouro: R$ 44.899,11
(vs. atual: R$ 8.258,80)
◀️ Fevereiro/2025: R$ 274.322,48
📈 Variação anual (prev.): -15.70%
💡 *INSIGHT ESTRATÉGICO*
Atingir a meta Ouro, com uma média diária necessária de R$ 44.899,11 em apenas 2 dias (quase 5.5x nossa performance atual), é um desafio que beira o inalcançável. Nossa prioridade imediata deve ser a *minimização estratégica do déficit* e a preparação para Março, dada a preocupante projeção de -15.70% em relação a Fev/2025.
1.  **Foco no TICKET MÁXIMO:** Com 252 atendimentos/dia e um ticket médio de R$ 32,65, há um enorme potencial de ganho. Implementar um *desafio "R$50+"* por transação para as próximas 48h. A equipe deve ser incentivada e direcionada a aplicar upselling e cross-selling em TODAS as vendas, transformando "levar um" em "levar dois" ou "levar o combo de valor agregado".
2.  **Campanha Relâmpago VIP:** Ativar nossa base de clientes mais valiosos com uma oferta exclusiva e ultralimitada para as últimas 48h. O objetivo é gerar um pico de vendas de alto valor, estimulando a compra de produtos de maior margem ou volume.
3.  **Diagnóstico Aprofundado:** A queda projetada de -15.70% versus o ano anterior é o ponto mais crítico. Recomendo uma análise pós-mês imediata para identificar as raízes dessa desaceleração e construir um plano de recuperação robusto para Março, com metas de ticket médio mais agressivas e estratégias de captação e retenção bem definidas. O próximo mês será decisivo para reverter a tendência.
📆 Projeção de fechamento: R$ 231.246,47
🗓️ Dias restantes: 2</t>
  </si>
  <si>
    <t>Atualização Comercial – FEVEREIRO 2026
🔍 *RESUMO*
✔️ Realizado: R$ 212.887,49
📅 Média/dia: R$ 8.187,98
🎫 Ticket médio: R$ 32,54
👥 Atend./dia: 251
🎯 *METAS (vs. OURO)*
Desempenho: 71.86%
Faltam: R$ 83.380,79
(Bronze: R$ 288.038,60 | Prata: R$ 292.153,44 | Ouro: R$ 296.268,28)
📉 *COMPARAÇÕES*
◀️ Média necessária p/ Ouro: R$ 83.380,79
(vs. atual: R$ 8.187,98)
◀️ Fevereiro/2025: R$ 274.322,48
📈 Variação anual (prev.): -16.43%
💡 *INSIGHT ESTRATÉGICO*
Estamos na última curva de Fevereiro, com apenas 1 dia restante para o fechamento. Os números confirmam que, apesar do esforço, este mês se encerra sem o atingimento das metas, com uma média diária necessária para Ouro dez vezes superior à nossa performance atual.
O ponto de atenção mais crítico é a projeção de fechamento, indicando um recuo de 16.43% em comparação com Fevereiro do ano anterior. Este não é apenas um dado, mas um sinal que acende a luz amarela para uma análise mais profunda.
*   **Foco para o 'sprint' final (Último dia):** Embora o impacto nas metas gerais seja limitado, usemos este último dia para um esforço concentrado em elevar o ticket médio (R$ 32,54). Incentivos de última hora para itens complementares ou de maior valor podem suavizar o impacto no fechamento final.
*   **Plano de Voo para Março (Ação Imediata):** Com Fevereiro praticamente consolidado, o imperativo é virar a chave imediatamente para Março. Este desempenho abaixo do esperado em relação ao ano anterior exige uma auditoria relâmpago:
    1.  **Diagnóstico Acelerado:** Convoque uma reunião estratégica urgente para identificar os fatores por trás da queda anual: Houve mudanças no cenário de mercado? Quebras de estoque? Estratégias de concorrência mais agressivas? Ou questões internas de execução/oferta?
    2.  **Revisão de Portfólio/Promoções:** Analisar se nosso mix atual e as promoções de Fevereiro foram atrativos o suficiente. Prepare campanhas de 'relançamento' para Março, focando em ofertas de valor percebido alto para o cliente.
    3.  **Capacitação em Upsell/Cross-sell:** O ticket médio baixo sugere uma oportunidade de ouro para treinar a equipe em técnicas de venda agregada. Março deve ser o mês para explorar cada atendimento ao máximo.
Este é o momento de usar os aprendizados de Fevereiro como o mapa para um Março de recuperação vigorosa e estratégica.
📆 Projeção de fechamento: R$ 229.263,45
🗓️ Dias restantes: 1</t>
  </si>
  <si>
    <t>Atualização Comercial – FEVEREIRO 2026
🔍 *RESUMO*
✔️ Realizado: R$ 222.600,16
📅 Média/dia: R$ 8.244,45
🎫 Ticket médio: R$ 32,55
👥 Atend./dia: 253
🎯 *METAS (vs. OURO)*
Desempenho: 75.13%
Faltam: R$ 73.668,12
(Bronze: R$ 288.038,60 | Prata: R$ 292.153,44 | Ouro: R$ 296.268,28)
📉 *COMPARAÇÕES*
◀️ Média necessária p/ Ouro: R$ 0,00
(vs. atual: R$ 8.244,45)
◀️ Fevereiro/2025: R$ 274.322,48
📈 Variação anual (prev.): -15.85%
💡 *INSIGHT ESTRATÉGICO*
Fevereiro de 2026 encerra um ciclo com um resultado final de R$ 230.844,61 (valor da projeção de fechamento), ficando aquém de todas as metas estabelecidas. Mais preocupante ainda, registramos uma queda de 15.85% em relação ao mesmo mês do ano anterior, sinalizando que a performance não apenas estagnou, mas regrediu significativamente. Este "balanço final" exige uma *autópsia comercial imediata*. Precisamos mergulhar nos dados para entender as causas raiz: 1) Onde está o gargalo na conversão dos 253 atendimentos diários? 2) O ticket médio de R$ 32,55 está otimizado ou há oportunidades claras de upselling/cross-selling não exploradas? 3) Quais foram os pontos de ruptura no fluxo de vendas ou na atração de clientes qualificados? Minha recomendação é que, com a virada do mês, iniciemos um planejamento de guerra para Março, com foco em ações de *recuperação intensiva*. Isso inclui treinamento para a equipe em técnicas de venda de valor agregado, revisão de promoções para impulsionar o ticket médio e campanhas direcionadas para reaquecer a base de clientes, revertendo rapidamente essa tendência de queda.
📆 Projeção de fechamento: R$ 230.844,61
🗓️ Dias restantes: 0</t>
  </si>
  <si>
    <t>Atualização Comercial – MARÇO 2026
🔍 *RESUMO*
✔️ Realizado: R$ 8.427,48
📅 Média/dia: R$ 8.427,48
🎫 Ticket médio: R$ 34,54
👥 Atend./dia: 245
🎯 *METAS (vs. OURO)*
Desempenho: 2.67%
Faltam: R$ 307.107,21
(Bronze: R$ 306.769,84 | Prata: R$ 311.152,26 | Ouro: R$ 315.534,69)
📉 *COMPARAÇÕES*
◀️ Média necessária p/ Ouro: R$ 10.589,90
(vs. atual: R$ 8.427,48)
◀️ Março/2025: R$ 292.161,75
📈 Variação anual (prev.): -10.58%
💡 *INSIGHT ESTRATÉGICO*
Março começou, e este primeiro dia já acende um farol. Com a média de hoje (R$ 8.427,48) abaixo do que precisamos diariamente para o Ouro (R$ 10.589,90), e uma projeção que nos coloca 10.58% abaixo de Março/2025, o sinal é claro: precisamos de um *arranque estratégico*.
Minhas recomendações para *inverter a curva* e ganhar tração:
1.  **Aumento de Ticket Médio:** Implementar 'upsell challenges' para a equipe e oferecer 'bundles' ou produtos complementares em destaque no PDV.
2.  **Otimização do Atendimento:** Focar em conversão e na qualidade da interação para garantir que cada atendimento (245 hoje) se traduza em valor máximo.
3.  **Monitoramento Diário Reforçado:** Engajar a equipe com o target diário, celebrando mini-metas para criar um senso de urgência e conquista desde o início.
📆 Projeção de fechamento: R$ 261.251,88
🗓️ Dias restantes: 29</t>
  </si>
  <si>
    <t>Atualização Comercial – MARÇO 2026
🔍 *RESUMO*
✔️ Realizado: R$ 16.409,96
📅 Média/dia: R$ 8.204,98
🎫 Ticket médio: R$ 32,30
👥 Atend./dia: 255
🎯 *METAS (vs. OURO)*
Desempenho: 5.20%
Faltam: R$ 299.124,73
(Bronze: R$ 306.769,84 | Prata: R$ 311.152,26 | Ouro: R$ 315.534,69)
📉 *COMPARAÇÕES*
◀️ Média necessária p/ Ouro: R$ 10.683,03
(vs. atual: R$ 8.204,98)
◀️ Março/2025: R$ 292.161,75
📈 Variação anual (prev.): -12.94%
💡 *INSIGHT ESTRATÉGICO*
Estamos apenas nos primeiros passos de Março, e a bússola aponta para um cenário que exige atenção imediata. A projeção atual sinaliza um fechamento bem abaixo da Meta Ouro e, criticamente, uma queda de quase 13% em relação ao ano anterior. Para virar o jogo e alcançar a Meta Ouro, nossa média diária precisa dar um salto significativo de R$ 2.478.
Nossa base de 255 atendimentos/dia é robusta, mas o Ticket Médio de R$ 32,30 nos mostra uma grande oportunidade: não é apenas sobre o volume de clientes, mas sobre o valor que cada um leva.
*Recomendação:* É momento de energizar a equipe com um "Desafio do Pódio de Vendas". Nosso foco imediato, nos próximos 7 dias, deve ser em *aumentar o valor percebido e a quantidade de itens por transação*. Propomos um treinamento relâmpago de cross-selling e up-selling, com metas claras para elevar o Ticket Médio em, no mínimo, 10% (buscando R$ 35,50+). Este pequeno, mas consistente aumento no valor da cesta, aliado ao fluxo atual de clientes, pode ser o catalisador que precisamos para acelerar em direção ao Ouro e reverter a tendência negativa anual. Vamos monitorar o TM por turno para feedback e ajustes rápidos.
📆 Projeção de fechamento: R$ 254.354,38
🗓️ Dias restantes: 28</t>
  </si>
  <si>
    <t>Atualização Comercial – MARÇO 2026
🔍 *RESUMO*
✔️ Realizado: R$ 25.905,65
📅 Média/dia: R$ 8.635,22
🎫 Ticket médio: R$ 33,34
👥 Atend./dia: 262
🎯 *METAS (vs. OURO)*
Desempenho: 8.21%
Faltam: R$ 289.629,04
(Bronze: R$ 306.769,84 | Prata: R$ 311.152,26 | Ouro: R$ 315.534,69)
📉 *COMPARAÇÕES*
◀️ Média necessária p/ Ouro: R$ 10.727,00
(vs. atual: R$ 8.635,22)
◀️ Março/2025: R$ 292.161,75
📈 Variação anual (prev.): -8.38%
💡 *INSIGHT ESTRATÉGICO*
Estamos nos primeiros dias de março, mas a projeção já sinaliza um desafio significativo. Nossa média diária atual (R$ 8.635,22) está bem abaixo do ritmo necessário (R$ 10.727,00) para alcançar a Meta Ouro, e a previsão aponta para um fechamento 8.38% inferior a Março/2025. É como se a base do nosso edifício estivesse sólida com o alto fluxo de atendimentos (262/dia), mas o ritmo de construção vertical não está acompanhando o cronograma.
O ponto crucial está em *elevar o valor de cada transação*. Com um ticket médio de R$ 33,34, precisamos urgentemente focar em estratégias de *upselling e cross-selling*. Minha sugestão é lançar um 'Desafio Valor Agregado' para a equipe, com incentivos claros para quem conseguir aumentar o ticket médio para a faixa de R$ 40-45. Isso pode ser impulsionado por combos pré-definidos, programas de fidelidade com bônus por gasto mínimo ou a exposição de produtos complementares no checkout. A meta não é apenas atrair clientes, mas maximizar o valor de cada um que já está em nossa loja. Precisamos 'elevar o andar' de cada venda.
📆 Projeção de fechamento: R$ 267.691,72
🗓️ Dias restantes: 27</t>
  </si>
  <si>
    <t>Atualização Comercial – MARÇO 2026
🔍 *RESUMO*
✔️ Realizado: R$ 33.698,97
📅 Média/dia: R$ 8.424,74
🎫 Ticket médio: R$ 32,72
👥 Atend./dia: 260
🎯 *METAS (vs. OURO)*
Desempenho: 10.68%
Faltam: R$ 281.835,72
(Bronze: R$ 306.769,84 | Prata: R$ 311.152,26 | Ouro: R$ 315.534,69)
📉 *COMPARAÇÕES*
◀️ Média necessária p/ Ouro: R$ 10.839,84
(vs. atual: R$ 8.424,74)
◀️ Março/2025: R$ 292.161,75
📈 Variação anual (prev.): -10.61%
💡 *INSIGHT ESTRATÉGICO*
Estamos numa encruzilhada crucial neste início de Março. A projeção aponta para um fechamento abaixo do ano anterior e distante da Meta Ouro, com uma diferença diária de R$ 2.415 em relação ao necessário. Não é hora de apenas 'vender mais', mas de 'vender melhor'.
Minha recomendação imediata é focar em uma **aceleração cirúrgica da performance por atendimento**:
1.  **Elevação do Ticket Médio:** Desenvolver e comunicar rapidamente "combos de valor" ou "upgrades inteligentes" que incentivem o cliente a levar mais, aumentando o valor percebido e o TM.
2.  **Otimização da Conversão e Cross-selling:** Reforçar o treinamento e a motivação das equipes para qualificar cada atendimento. Lançar micro-incentivos ou desafios diários focados na venda de produtos complementares e de maior margem.
Ainda temos 26 dias, mas a virada precisa começar agora, otimizando cada interação com o cliente.
📆 Projeção de fechamento: R$ 261.167,02
🗓️ Dias restantes: 26</t>
  </si>
  <si>
    <t>Atualização Comercial – MARÇO 2026
🔍 *RESUMO*
✔️ Realizado: R$ 43.294,99
📅 Média/dia: R$ 8.659,00
🎫 Ticket médio: R$ 33,23
👥 Atend./dia: 262
🎯 *METAS (vs. OURO)*
Desempenho: 13.72%
Faltam: R$ 272.239,70
(Bronze: R$ 306.769,84 | Prata: R$ 311.152,26 | Ouro: R$ 315.534,69)
📉 *COMPARAÇÕES*
◀️ Média necessária p/ Ouro: R$ 10.889,59
(vs. atual: R$ 8.659,00)
◀️ Março/2025: R$ 292.161,75
📈 Variação anual (prev.): -8.12%
💡 *INSIGHT ESTRATÉGICO*
Nossa projeção de fechamento abaixo do ano anterior e o gap diário de R$ 2.230,59 para a Meta Ouro sinalizam que a navegação atual não nos levará ao destino. Precisamos de um *impulso estratégico para recalibrar nossa rota*. Minhas sugestões:
1.  **"Desafio do Elevador":** Implementar um desafio diário para a equipe de vendas com foco em *elevar o valor de cada transação*. Isso exige treinamento prático em técnicas de *upsell e cross-sell inteligente* de produtos complementares ou de maior valor, visando subir o ticket médio para R$40+ e maximizar o potencial de cada atendimento.
2.  **"Foco no Acúmulo":** Lançar uma *micro-campanha de incentivo por volume* para os clientes já existentes, talvez um "Acúmulo de Pontos Turbo" ou "Compre Mais e Ganhe", para gerar mais itens por carrinho ou um segundo atendimento em curto período. A meta é transformar nosso volume de atendimentos em um valor transacional maior e mais rapidamente. Acelerar o valor individual do cliente é chave.
📆 Projeção de fechamento: R$ 268.428,94
🗓️ Dias restantes: 25</t>
  </si>
  <si>
    <t>Atualização Comercial – MARÇO 2026
🔍 *RESUMO*
✔️ Realizado: R$ 51.538,43
📅 Média/dia: R$ 8.589,74
🎫 Ticket médio: R$ 32,29
👥 Atend./dia: 268
🎯 *METAS (vs. OURO)*
Desempenho: 16.33%
Faltam: R$ 263.996,26
(Bronze: R$ 306.769,84 | Prata: R$ 311.152,26 | Ouro: R$ 315.534,69)
📉 *COMPARAÇÕES*
◀️ Média necessária p/ Ouro: R$ 10.999,84
(vs. atual: R$ 8.589,74)
◀️ Março/2025: R$ 292.161,75
📈 Variação anual (prev.): -8.86%
💡 *INSIGHT ESTRATÉGICO*
Nossa projeção atual (R$ 266K) nos afasta da Meta Ouro por R$ 264K e sinaliza um Março/26 R$ 26K abaixo do ano anterior. Para reverter essa trajetória e mirar o Ouro, precisamos de um salto diário de R$ 2.4K, elevando nossa média para R$ 11K. O calcanhar de Aquiles é o ticket médio atual de R$ 32,29.
Precisamos de uma *infusão de valor e aceleração de tráfego qualificado*:
1.  **"Mês do Combo Inteligente":** Desenvolver e lançar imediatamente 2-3 combos de produtos estratégicos (ex: "Kit Essencial Diário", "Pacote Semanal Econômico") que naturalmente elevem o ticket médio para a faixa de R$ 40-45. Treinamento intensivo da equipe em como apresentar o valor agregado desses combos, não apenas o preço.
2.  **Micros-Ativações de Retenção:** Foco em reativar clientes da nossa base que não compram há 30-60 dias. Enviar campanhas segmentadas via WhatsApp/SMS com ofertas exclusivas para os novos "Combos Inteligentes" ou benefícios de primeira compra no mês. Gerar fluxo qualificado com um custo de aquisição baixo.
3.  **"Painel de Impacto Diário":** Criar um dashboard visível nas lojas que mostre o *desempenho diário atual vs. o ticket médio alvo e a meta diária faltante*. A visualização clara do "desafio" e do "ganho" engaja a equipe e fomenta uma competição saudável pela excelência.
📆 Projeção de fechamento: R$ 266.281,89
🗓️ Dias restantes: 24</t>
  </si>
  <si>
    <t>Atualização Comercial – MARÇO 2026
🔍 *RESUMO*
✔️ Realizado: R$ 65.482,69
📅 Média/dia: R$ 9.354,67
🎫 Ticket médio: R$ 33,01
👥 Atend./dia: 286
🎯 *METAS (vs. OURO)*
Desempenho: 20.75%
Faltam: R$ 250.052,00
(Bronze: R$ 306.769,84 | Prata: R$ 311.152,26 | Ouro: R$ 315.534,69)
📉 *COMPARAÇÕES*
◀️ Média necessária p/ Ouro: R$ 10.871,83
(vs. atual: R$ 9.354,67)
◀️ Março/2025: R$ 292.161,75
📈 Variação anual (prev.): -0.74%
💡 *INSIGHT ESTRATÉGICO*
A projeção atual de R$ 289.994,77 acende um alerta: estamos abaixo da Meta Bronze e ligeiramente aquém do desempenho de Março/2025, indicando uma perda de momentum. O volume de atendimentos (286/dia) é um ativo, mas o *ticket médio* em R$ 33,01 não está impulsionando a performance como deveria, resultando num *gap diário* de R$ 1.517,16 para a meta Ouro.
Precisamos de uma **"virada de mesa" estratégica** para transformar o volume em valor. Sugiro focar em:
1.  **Intensificar o "Carrinho Cheio"**: Treinar a equipe para *upselling* e *cross-selling* de forma mais agressiva e consultiva. Criar combos de produtos ou sugestões de "complemento ideal" para elevar o valor percebido e o ticket médio por atendimento.
2.  **Micro-Campanha de Impacto**: Lançar uma ação promocional de curtíssimo prazo (ex: 48h) com gatilhos de escassez e urgência, focando em categorias de maior margem ou produtos que impulsionem o ticket médio, como "leve 3, pague 2" em itens específicos ou "desconto progressivo".
3.  **Otimização do Funil**: Analisar rapidamente o *lead time* e os pontos de abandono no processo de atendimento. Há gargalos que estão impedindo o cliente de concluir a compra ou de gastar mais?
Temos 23 dias para reverter essa projeção e buscar o crescimento desejado.
📆 Projeção de fechamento: R$ 289.994,77
🗓️ Dias restantes: 23</t>
  </si>
  <si>
    <t>Atualização Comercial – MARÇO 2026
🔍 *RESUMO*
✔️ Realizado: R$ 76.939,42
📅 Média/dia: R$ 9.617,43
🎫 Ticket médio: R$ 34,07
👥 Atend./dia: 284
🎯 *METAS (vs. OURO)*
Desempenho: 24.38%
Faltam: R$ 238.595,27
(Bronze: R$ 306.769,84 | Prata: R$ 311.152,26 | Ouro: R$ 315.534,69)
📉 *COMPARAÇÕES*
◀️ Média necessária p/ Ouro: R$ 10.845,24
(vs. atual: R$ 9.617,43)
◀️ Março/2025: R$ 292.161,75
📈 Variação anual (prev.): +2.05%
💡 *INSIGHT ESTRATÉGICO*
Chegamos à marca dos 9 dias de março e a corrida para a Meta Ouro exige agora um sprint estratégico. Nosso desempenho médio diário de R$ 9.617,43 nos coloca R$ 1.227,81 abaixo do ritmo necessário para alcançar o Ouro. A projeção atual (R$ 298.140,25) ainda está aquém até mesmo da Meta Bronze, embora mostre um promissor crescimento de 2.05% sobre o ano anterior. Isso demonstra que há potencial, mas precisamos acelerar a performance.
Para fechar essa lacuna de quase R$ 1.300/dia e mudar a rota da projeção, sugiro um foco cirúrgico em:
1.  **Potencializar o Ticket Médio (TM):** É o nosso pilar mais rápido. Implementar mini-desafios diários para a equipe, com incentivos, focando em "pacotes inteligentes" de produtos complementares ou "leve mais, economize mais" com itens de maior margem. Um aumento de apenas R$ 4,12 no TM por atendimento já nos colocaria no caminho certo.
2.  **Micro-segmentação de Ativação:** Em paralelo, lançar uma ação digital direcionada a clientes que compraram no mesmo período do ano passado, mas ainda não ativaram em março/26. Uma oferta exclusiva para reativar essa base pode gerar um fluxo de atendimentos de alto valor, sem depender de novos clientes.
A Meta Ouro é ambiciosa, mas plenamente alcançável com estas manobras táticas bem executadas e o engajamento de toda a equipe.
📆 Projeção de fechamento: R$ 298.140,25
🗓️ Dias restantes: 22</t>
  </si>
  <si>
    <t>Atualização Comercial – MARÇO 2026
🔍 *RESUMO*
✔️ Realizado: R$ 82.865,45
📅 Média/dia: R$ 9.207,27
🎫 Ticket médio: R$ 33,51
👥 Atend./dia: 277
🎯 *METAS (vs. OURO)*
Desempenho: 26.26%
Faltam: R$ 232.669,24
(Bronze: R$ 306.769,84 | Prata: R$ 311.152,26 | Ouro: R$ 315.534,69)
📉 *COMPARAÇÕES*
◀️ Média necessária p/ Ouro: R$ 11.079,49
(vs. atual: R$ 9.207,27)
◀️ Março/2025: R$ 292.161,75
📈 Variação anual (prev.): -2.31%
💡 *INSIGHT ESTRATÉGICO*
Estamos em um ponto de inflexão crítico este mês, com a projeção de fechamento ainda distante da Meta Bronze e abaixo do desempenho do ano passado. O *gap* diário para alcançar o Ouro (quase R$ 1.900/dia) nos sinaliza que a rota atual não é suficiente.
Precisamos de uma aceleração estratégica. Sugiro ligarmos o "modo turbo" da performance com duas frentes:
1.  **Desafio "Dupla Receita"**: Focar intensamente em estratégias de *upsell* e *cross-sell* que elevem nosso ticket médio. Podemos incentivar a equipe com um bônus por cada venda que exceda 15% do ticket médio atual, focando em combos de maior valor ou produtos complementares. É hora de fazer cada atendimento valer mais.
2.  **Micros Campanhas de Impulso**: Ativar nos próximos 7 dias campanhas ágeis e segmentadas via WhatsApp para nossos clientes mais engajados, oferecendo um benefício exclusivo (e.g., "bônus surpresa" em produtos selecionados ou frete grátis para compras acima de X valor) para compras realizadas até o final da semana. Isso deve gerar um *spike* imediato no volume de transações e receita.
É hora de virar o jogo e construir um momentum de crescimento sustentável para o restante do mês.
📆 Projeção de fechamento: R$ 285.425,44
🗓️ Dias restantes: 21</t>
  </si>
  <si>
    <t>Atualização Comercial – MARÇO 2026
🔍 *RESUMO*
✔️ Realizado: R$ 90.698,91
📅 Média/dia: R$ 9.069,89
🎫 Ticket médio: R$ 33,48
👥 Atend./dia: 273
🎯 *METAS (vs. OURO)*
Desempenho: 28.74%
Faltam: R$ 224.835,78
(Bronze: R$ 306.769,84 | Prata: R$ 311.152,26 | Ouro: R$ 315.534,69)
📉 *COMPARAÇÕES*
◀️ Média necessária p/ Ouro: R$ 11.241,79
(vs. atual: R$ 9.069,89)
◀️ Março/2025: R$ 292.161,75
📈 Variação anual (prev.): -3.76%
💡 *INSIGHT ESTRATÉGICO*
Estamos a 1/3 do mês e a atual dinâmica de vendas nos posiciona para um fechamento abaixo da Meta Bronze e 3.76% inferior ao mesmo período do ano passado. Para alcançar a Meta Ouro, precisamos um "salto quântico" de R$ 2.171,90 *a mais* por dia nos próximos 20 dias, uma média 24% superior à atual.
A chave é atuar em duas frentes de alavancagem imediatas:
1.  **Explosão de Volume:** Com 20 dias restantes, precisamos escalar nossos atendimentos diários em aproximadamente 63 pessoas, mantendo o ticket médio. Sugiro uma micro-campanha de impacto focada em reativação de clientes ou atração de novo fluxo com ofertas irresistíveis de curto prazo.
2.  **Otimização do Ticket:** Se mantivermos o fluxo atual, o ticket médio precisa subir R$ 7.70, atingindo R$ 41.18. Isso exige um foco intenso em *upsell* e *cross-sell*, com equipes treinadas para apresentar combos de valor e produtos complementares.
Precisamos de uma "guinada estratégica" para reverter essa projeção, transformando cada atendimento em uma oportunidade maximizada. A hora de acelerar é agora.
📆 Projeção de fechamento: R$ 281.166,62
🗓️ Dias restantes: 20</t>
  </si>
  <si>
    <t>Atualização Comercial – MARÇO 2026
🔍 *RESUMO*
✔️ Realizado: R$ 97.679,33
📅 Média/dia: R$ 8.879,94
🎫 Ticket médio: R$ 33,24
👥 Atend./dia: 250
🎯 *METAS (vs. OURO)*
Desempenho: 30.96%
Faltam: R$ 217.855,36
(Bronze: R$ 306.769,84 | Prata: R$ 311.152,26 | Ouro: R$ 315.534,69)
📉 *COMPARAÇÕES*
◀️ Média necessária p/ Ouro: R$ 11.466,07
(vs. atual: R$ 8.879,94)
◀️ Março/2025: R$ 292.161,75
📈 Variação anual (prev.): -5.78%
💡 *INSIGHT ESTRATÉGICO*
Os dados do 1º terço de Março são um sinal claro de que precisamos **mudar a marcha imediatamente**. Com R$97k acumulados, estamos 30.96% da Meta Ouro e, mais preocupante, projetamos um fechamento 5.78% abaixo do ano anterior. A gravidade é que o ritmo atual nos levará a perder todas as metas do mês.
O desafio é gigante: precisamos saltar de R$8.8k para R$11.4k diários nos próximos 19 dias – um acréscimo de R$2.6k por dia. Nossa base de 250 atendimentos diários é um capital, mas o **Ticket Médio de R$33,24** é o nosso principal ponto de alavancagem. Precisamos fazer cada cliente valer mais. Minhas recomendações imediatas:
1.  **"Jornada Ouro do Cliente":** Desenvolver e implementar uma jornada de venda que guie o cliente para a compra de produtos complementares ou de maior valor. Treinamento intensivo da equipe com foco em scripts e técnicas de up-selling e cross-selling, com objetivo de elevar o Ticket Médio para R$45+.
2.  **"Oferta Magnética do Dia":** Criar promoções relâmpago diárias para itens complementares de alta margem, ativadas no ponto de venda e comunicadas proativamente pela equipe como "imperdíveis para hoje".
3.  **Metas de "Ticket Premium":** Estabelecer metas diárias e por vendedor para transações acima de um determinado valor (ex: 15% das vendas acima de R$60), com bônus ou reconhecimento rápido para quem atingir, incentivando a venda de valor agregado.
O ritmo atual não nos levará ao Ouro. A virada está em maximizar o valor de cada atendimento.
📆 Projeção de fechamento: R$ 275.278,11
🗓️ Dias restantes: 19</t>
  </si>
  <si>
    <t>Atualização Comercial – MARÇO 2026
🔍 *RESUMO*
✔️ Realizado: R$ 106.298,22
📅 Média/dia: R$ 8.858,18
🎫 Ticket médio: R$ 33,43
👥 Atend./dia: 267
🎯 *METAS (vs. OURO)*
Desempenho: 33.69%
Faltam: R$ 209.236,47
(Bronze: R$ 306.769,84 | Prata: R$ 311.152,26 | Ouro: R$ 315.534,69)
📉 *COMPARAÇÕES*
◀️ Média necessária p/ Ouro: R$ 11.624,25
(vs. atual: R$ 8.858,18)
◀️ Março/2025: R$ 292.161,75
📈 Variação anual (prev.): -6.01%
💡 *INSIGHT ESTRATÉGICO*
Entramos na reta final de Março com um cenário que exige aceleração estratégica. A projeção de fechamento abaixo das metas e, mais preocupante, 6.01% inferior ao ano anterior, indica que precisamos virar o jogo imediatamente. O desafio diário de alcançar a meta Ouro (+R$ 2.766/dia) é significativo e demanda um "sprint duplo":
1.  **Foco no Valor da Cesta:** Intensificar a otimização do mix de produtos em destaque e o treinamento em *upselling/cross-selling* no PDV, mirando um aumento de apenas R$10 no ticket médio para cada transação.
2.  **Engajamento e Tráfego Ativo:** Implementar micro-campanhas de reengajamento para clientes que visitaram mas não compraram, e explorar ações de *impulso de tráfego localizado* para aumentar a base de atendimentos diários.
Precisamos transformar cada interação em uma oportunidade de valor maior e garantir que o volume de atendimentos (267) seja maximizado. O tempo é crucial para reverter esta trajetória e buscar o patamar do ano anterior.
📆 Projeção de fechamento: R$ 274.603,73
🗓️ Dias restantes: 18</t>
  </si>
  <si>
    <t>Atualização Comercial – MARÇO 2026
🔍 *RESUMO*
✔️ Realizado: R$ 115.287,24
📅 Média/dia: R$ 8.868,25
🎫 Ticket médio: R$ 33,45
👥 Atend./dia: 267
🎯 *METAS (vs. OURO)*
Desempenho: 36.54%
Faltam: R$ 200.247,45
(Bronze: R$ 306.769,84 | Prata: R$ 311.152,26 | Ouro: R$ 315.534,69)
📉 *COMPARAÇÕES*
◀️ Média necessária p/ Ouro: R$ 11.779,26
(vs. atual: R$ 8.868,25)
◀️ Março/2025: R$ 292.161,75
📈 Variação anual (prev.): -5.90%
💡 *INSIGHT ESTRATÉGICO*
O cenário atual exige uma virada de chave imediata. Nossa média diária está R$ 2.911 abaixo do ritmo necessário para atingir a Meta Ouro, o que projeta um fechamento 5.90% aquém do ano anterior. Não podemos nos dar ao luxo de manter o curso. Com 17 dias restantes, a janela para reverter essa tendência está se fechando. Precisamos lançar uma "operação resgate" focada em elevar o valor de cada carrinho de compras. Sugiro treinar e incentivar intensivamente as equipes a focar em *upselling* de produtos complementares e *cross-selling* de categorias adjacentes, transformando cada atendimento em uma oportunidade para o cliente levar um pouco mais. Paralelamente, podemos introduzir *kits ou combos promocionais* de alto valor percebido e margem sustentável, visando um aumento rápido do ticket médio.
📆 Projeção de fechamento: R$ 274.915,73
🗓️ Dias restantes: 17</t>
  </si>
  <si>
    <t>Atualização Comercial – MARÇO 2026
🔍 *RESUMO*
✔️ Realizado: R$ 126.632,93
📅 Média/dia: R$ 9.045,21
🎫 Ticket médio: R$ 33,75
👥 Atend./dia: 269
🎯 *METAS (vs. OURO)*
Desempenho: 40.13%
Faltam: R$ 188.901,76
(Bronze: R$ 306.769,84 | Prata: R$ 311.152,26 | Ouro: R$ 315.534,69)
📉 *COMPARAÇÕES*
◀️ Média necessária p/ Ouro: R$ 11.806,36
(vs. atual: R$ 9.045,21)
◀️ Março/2025: R$ 292.161,75
📈 Variação anual (prev.): -4.03%
💡 *INSIGHT ESTRATÉGICO*
Chegamos à metade do mês com 40.13% da Meta Ouro, o que é um bom ponto de partida, mas a projeção atual para o fechamento (R$ 280.401,49) nos coloca significativamente abaixo de todas as metas e, preocupantemente, 4.03% abaixo do desempenho de Março/2025. O desafio crítico é o *gap de R$ 2.761,15 na média diária* para alcançarmos o Ouro nos 16 dias restantes.
Precisamos de uma **virada estratégica** focada em dois pilares:
1.  **Potencializar o Ticket Médio:** Com R$ 33,75, há espaço para crescimento. Proponho um *push intensivo em "complementares de valor"* e sugestão de *combos estratégicos* que aumentem o valor percebido e o gasto por cliente, capacitando a equipe para essas ofertas nos próximos dias.
2.  **Campanhas de Pulso para Volume:** Lançar ações diárias de *micros campanhas direcionadas* (ex: "oferta do dia/hora" ou "compre 2, leve 3") em momentos de menor fluxo ou para categorias específicas, visando não só o aumento do ticket, mas também a atração pontual de clientes para impulsionar o volume total de atendimentos e a conversão por cliente nos 16 dias restantes.
Esta é a hora de acelerar com precisão e reverter a projeção negativa.
📆 Projeção de fechamento: R$ 280.401,49
🗓️ Dias restantes: 16</t>
  </si>
  <si>
    <t>Atualização Comercial – MARÇO 2026
🔍 *RESUMO*
✔️ Realizado: R$ 137.621,27
📅 Média/dia: R$ 9.174,75
🎫 Ticket médio: R$ 34,17
👥 Atend./dia: 270
🎯 *METAS (vs. OURO)*
Desempenho: 43.62%
Faltam: R$ 177.913,42
(Bronze: R$ 306.769,84 | Prata: R$ 311.152,26 | Ouro: R$ 315.534,69)
📉 *COMPARAÇÕES*
◀️ Média necessária p/ Ouro: R$ 11.860,89
(vs. atual: R$ 9.174,75)
◀️ Março/2025: R$ 292.161,75
📈 Variação anual (prev.): -2.65%
💡 *INSIGHT ESTRATÉGICO*
A projeção de fechamento, R$ 284.417,29, acende um alerta: estamos projetados para não atingir sequer a Meta Bronze e ficar abaixo do desempenho do ano anterior. Com a média diária atual significativamente aquém do necessário para Ouro (R$ 9.174,75 vs. R$ 11.860,89), precisamos urgentemente de um "sprint" focado para os próximos 15 dias. Sugiro uma estratégia de impacto duplo e imediato:
1.  **Otimização do Ticket Médio via Kits/Bundles:** Com 270 atendimentos/dia, nosso desafio é extrair mais valor de cada cliente. Criar e promover "Kits de Solução" ou "Bundles Inteligentes" (ex: "Leve 2, Ganhe X no terceiro item de maior valor" ou "Combo Essencial + Premium") pode elevar o TM de R$ 34,17 para o patamar necessário, sem depender exclusivamente de mais fluxo. Foque em produtos complementares com alta margem.
2.  **Campanha de Reativação Relâmpago:** Ativar uma base de clientes adormecidos com uma oferta exclusiva e de tempo limitado. Um "flash sale" segmentado por WhatsApp ou SMS para quem não compra há 30-60 dias pode gerar volume adicional e incremental rapidamente, complementando os esforços de TM.
Precisamos de uma resposta ágil para reverter esta trajetória e garantir que Março/2026 não seja um ponto de estagnação, mas sim de virada. A diferença de R$ 2.686,14 por dia é palpável se atacarmos valor e volume com inteligência.
📆 Projeção de fechamento: R$ 284.417,29
🗓️ Dias restantes: 15</t>
  </si>
  <si>
    <t>Atualização Comercial – MARÇO 2026
🔍 *RESUMO*
✔️ Realizado: R$ 145.418,26
📅 Média/dia: R$ 9.088,64
🎫 Ticket médio: R$ 33,90
👥 Atend./dia: 270
🎯 *METAS (vs. OURO)*
Desempenho: 46.09%
Faltam: R$ 170.116,43
(Bronze: R$ 306.769,84 | Prata: R$ 311.152,26 | Ouro: R$ 315.534,69)
📉 *COMPARAÇÕES*
◀️ Média necessária p/ Ouro: R$ 12.151,17
(vs. atual: R$ 9.088,64)
◀️ Março/2025: R$ 292.161,75
📈 Variação anual (prev.): -3.56%
💡 *INSIGHT ESTRATÉGICO*
A trajetória atual projeta um fechamento abaixo do Ouro e, preocupantemente, inferior ao ano anterior (-3.56%). Nosso desafio maior está em *cultivar* mais valor de cada atendimento. Com uma média diária necessária de R$ 12.151,17 (vs. R$ 9.088,64 atual) e 270 atendimentos/dia, a oportunidade não é buscar mais clientes, mas sim otimizar os que já temos.
**Recomendação:**
1.  **Desafio "Semente de Ouro" para a equipe:** Criar uma dinâmica focada no aumento do Ticket Médio via *cross-selling* inteligente e *upsell* de produtos complementares. Cada atendimento é uma "semente" com potencial para uma "colheita" maior.
2.  **Combos de Valor:** Desenvolver ofertas de pacotes ou combos com produtos que juntos, elevam o Ticket Médio percebido pelo cliente, incentivando o gasto extra.
3.  **Flash Promos Estratégicas:** Lançar ações pontuais, por tempo limitado, em categorias de maior margem ou com maior valor unitário, para dar um "impulso" direcionado ao faturamento.
📆 Projeção de fechamento: R$ 281.747,88
🗓️ Dias restantes: 14</t>
  </si>
  <si>
    <t>Atualização Comercial – MARÇO 2026
🔍 *RESUMO*
✔️ Realizado: R$ 152.553,97
📅 Média/dia: R$ 8.973,76
🎫 Ticket médio: R$ 33,71
👥 Atend./dia: 268
🎯 *METAS (vs. OURO)*
Desempenho: 48.35%
Faltam: R$ 162.980,72
(Bronze: R$ 306.769,84 | Prata: R$ 311.152,26 | Ouro: R$ 315.534,69)
📉 *COMPARAÇÕES*
◀️ Média necessária p/ Ouro: R$ 12.536,98
(vs. atual: R$ 8.973,76)
◀️ Março/2025: R$ 292.161,75
📈 Variação anual (prev.): -4.78%
💡 *INSIGHT ESTRATÉGICO*
A projeção de fechamento abaixo do ano anterior e de todas as metas acende um alerta vermelho: estamos navegando para um resultado inferior ao de 2025. Nosso ritmo atual (R$ 8.973,76/dia) está R$ 3.563,22 aquém do necessário para o Ouro. Com 13 dias pela frente, precisamos de uma **inflexão tática imediata e coordenada**.
Sugiro focar em:
1.  **Alavancar o Ticket Médio:** Lançar uma campanha-relâmpago de combos irresistíveis ou up-selling estratégico nos próximos 72h, com foco em produtos de maior margem ou complementares, elevando nosso ticket atual de R$ 33,71.
2.  **Intensificar o Tráfego Qualificado:** Desenvolver uma micro-campanha de reativação de clientes VIPs com ofertas personalizadas ou explorar parcerias locais de impacto imediato para gerar fluxo extra e qualificado.
3.  **Engajamento da Equipe:** Comunicar a meta diária de R$ 12.536,98 com clareza e incentivos de performance agressivos para os próximos dias, transformando o desafio em oportunidade através de um "sprint final".
📆 Projeção de fechamento: R$ 278.186,65
🗓️ Dias restantes: 13</t>
  </si>
  <si>
    <t>Atualização Comercial – MARÇO 2026
🔍 *RESUMO*
✔️ Realizado: R$ 161.674,47
📅 Média/dia: R$ 8.981,91
🎫 Ticket médio: R$ 33,90
👥 Atend./dia: 266
🎯 *METAS (vs. OURO)*
Desempenho: 51.24%
Faltam: R$ 153.860,22
(Bronze: R$ 306.769,84 | Prata: R$ 311.152,26 | Ouro: R$ 315.534,69)
📉 *COMPARAÇÕES*
◀️ Média necessária p/ Ouro: R$ 12.821,69
(vs. atual: R$ 8.981,91)
◀️ Março/2025: R$ 292.161,75
📈 Variação anual (prev.): -4.70%
💡 *INSIGHT ESTRATÉGICO*
Chegamos ao "segundo tempo" do mês e a bola está conosco para uma virada estratégica! A projeção atual nos coloca significativamente abaixo de todas as metas, inclusive do patamar de Março/2025. O desafio é real: precisamos queimar uma média de R$ 12.821,69 por dia nos próximos 12 dias para alcançar o Ouro, um aumento de 42% sobre nossa performance atual.
**Minha sugestão de rota para este sprint final:**
1.  **Foco em "Leve Mais":** Desenvolver combos ou "bundles" irresistíveis de produtos que aumentem o ticket médio sem diluir margem. A meta é transformar um atendimento de R$ 33,90 em R$ 45-50 através de uma oferta agregada bem comunicada.
2.  **"Hora do Rush de Vendas":** Implementar mini-campanhas de curta duração (ex: últimas 2 horas do dia, picos da tarde) com micro-ofertas ou bônus para compras acima de um valor específico, gerando senso de urgência e impulsionando o volume de vendas em janelas estratégicas.
3.  **"Desafio do Cliente Retornante":** Criar um mecanismo rápido para identificar e reativar clientes que compraram em Março de 2025 mas ainda não vieram este ano, talvez com um pequeno incentivo exclusivo de "boas-vindas de volta".
A precisão tática e a agilidade na execução nos próximos dias são a chave para mudarmos o placar e evitarmos um fechamento aquém do nosso potencial.
📆 Projeção de fechamento: R$ 278.439,36
🗓️ Dias restantes: 12</t>
  </si>
  <si>
    <t>Atualização Comercial – MARÇO 2026
🔍 *RESUMO*
✔️ Realizado: R$ 172.955,53
📅 Média/dia: R$ 9.102,92
🎫 Ticket médio: R$ 34,05
👥 Atend./dia: 269
🎯 *METAS (vs. OURO)*
Desempenho: 54.81%
Faltam: R$ 142.579,16
(Bronze: R$ 306.769,84 | Prata: R$ 311.152,26 | Ouro: R$ 315.534,69)
📉 *COMPARAÇÕES*
◀️ Média necessária p/ Ouro: R$ 12.961,74
(vs. atual: R$ 9.102,92)
◀️ Março/2025: R$ 292.161,75
📈 Variação anual (prev.): -3.41%
💡 *INSIGHT ESTRATÉGICO*
A projeção atual nos coloca consideravelmente aquém de todas as metas para o mês e, preocupantemente, com uma retração de -3.41% em relação a Março do ano anterior. Com apenas 11 dias restantes, a janela para uma virada é apertada e exige uma 'blitz' de vendas.
O salto necessário na média diária (de R$ 9.102,92 para R$ 12.961,74) é o nosso maior desafio. Para isso, sugiro uma ofensiva focada em **impulsionar o Ticket Médio através de "Combos Inteligentes"**. Que tal criar ofertas irresistíveis com produtos complementares, oferecendo um valor percebido maior ao cliente? Exemplo: "Leve A + B por X% a menos".
Além disso, é crucial mobilizar a equipe de vendas com um **"Desafio de Últimos 11 Dias"**, premiando as lojas e vendedores que demonstrarem maior crescimento no Ticket Médio e na conversão. É hora de fazer cada atendimento contar mais, transformando os 269 atendimentos diários em oportunidades de agregar valor e acelerar o ritmo de vendas.
📆 Projeção de fechamento: R$ 282.190,60
🗓️ Dias restantes: 11</t>
  </si>
  <si>
    <t>Atualização Comercial – MARÇO 2026
🔍 *RESUMO*
✔️ Realizado: R$ 182.785,02
📅 Média/dia: R$ 9.139,25
🎫 Ticket médio: R$ 34,11
👥 Atend./dia: 268
🎯 *METAS (vs. OURO)*
Desempenho: 57.93%
Faltam: R$ 132.749,67
(Bronze: R$ 306.769,84 | Prata: R$ 311.152,26 | Ouro: R$ 315.534,69)
📉 *COMPARAÇÕES*
◀️ Média necessária p/ Ouro: R$ 13.274,97
(vs. atual: R$ 9.139,25)
◀️ Março/2025: R$ 292.161,75
📈 Variação anual (prev.): -3.03%
💡 *INSIGHT ESTRATÉGICO*
Apesar de um robusto volume de atendimentos diários (268), a alavanca do *ticket médio em R$ 34,11* não está otimizada. Estamos com tráfego, mas sem maximizar o valor de cada interação. A projeção de fechamento abaixo do ano anterior e das metas exige um ajuste fino no nosso "motor" de vendas.
**Ação Estratégica:** Em vez de focar apenas em mais atendimentos, a prioridade deve ser *intensificar o valor de cada transação*. Proponho um **"desafio de valorização da cesta"** para as equipes. Isso implica em:
1.  **Foco em Upselling e Cross-selling qualificado:** Treinamento intensivo para que os vendedores identifiquem e ofereçam produtos complementares ou de maior valor agregado, com scripts claros e incentivos.
2.  **Criação de combos inteligentes:** Montar ofertas que aumentem o ticket médio de forma perceptível, agregando valor para o cliente sem comprometer drasticamente a margem.
3.  **Meta diária por vendedor no Ticket Médio:** Estabelecer um objetivo claro para o ticket médio individual, com acompanhamento em tempo real, transformando cada um dos 268 atendimentos em uma oportunidade de venda mais robusta.
Precisamos de uma intervenção cirúrgica para que o alto volume de atendimentos se traduza em um desempenho financeiro à altura das nossas metas.
📆 Projeção de fechamento: R$ 283.316,78
🗓️ Dias restantes: 10</t>
  </si>
  <si>
    <t>Atualização Comercial – MARÇO 2026
🔍 *RESUMO*
✔️ Realizado: R$ 192.958,61
📅 Média/dia: R$ 9.188,51
🎫 Ticket médio: R$ 33,92
👥 Atend./dia: 272
🎯 *METAS (vs. OURO)*
Desempenho: 61.15%
Faltam: R$ 122.576,08
(Bronze: R$ 306.769,84 | Prata: R$ 311.152,26 | Ouro: R$ 315.534,69)
📉 *COMPARAÇÕES*
◀️ Média necessária p/ Ouro: R$ 13.619,56
(vs. atual: R$ 9.188,51)
◀️ Março/2025: R$ 292.161,75
📈 Variação anual (prev.): -2.50%
💡 *INSIGHT ESTRATÉGICO*
Faltando 9 dias para o fim do mês, estamos em um ponto de inflexão crítico. A projeção atual nos deixa abaixo das metas e do desempenho do ano anterior. O desafio de saltar da média atual de R$ 9.188,51 para os R$ 13.619,56 necessários para a Meta Ouro é substancial. Temos um bom fluxo de 272 atendimentos/dia, o que nos indica que o tráfego não é o problema principal.
A alavanca está em *elevar o valor de cada interação*. Proponho um 'Sprint de Conversão e Valor Agregado':
1.  **Foco em Up-selling/Cross-selling:** Lançar um desafio de equipe para aumentar o ticket médio, com treinamento rápido e incentivos diretos por transação que supere um novo limite de ticket médio.
2.  **Kits e Combos de Última Hora:** Criar rapidamente ofertas de kits ou combos com produtos complementares e margens atrativas, posicionando-os como oportunidades únicas de fechamento de mês.
3.  **Visual Merchandising Estratégico:** Reorganizar a loja física e vitrine digital para destacar produtos de maior valor agregado ou os kits promocionais, direcionando o cliente para a compra de maior valor.
Precisamos transformar nosso volume de atendimentos em um ticket médio mais robusto para atingir o target.
📆 Projeção de fechamento: R$ 284.843,66
🗓️ Dias restantes: 9</t>
  </si>
  <si>
    <t>Atualização Comercial – MARÇO 2026
🔍 *RESUMO*
✔️ Realizado: R$ 202.688,92
📅 Média/dia: R$ 9.213,13
🎫 Ticket médio: R$ 34,06
👥 Atend./dia: 272
🎯 *METAS (vs. OURO)*
Desempenho: 64.24%
Faltam: R$ 112.845,77
(Bronze: R$ 306.769,84 | Prata: R$ 311.152,26 | Ouro: R$ 315.534,69)
📉 *COMPARAÇÕES*
◀️ Média necessária p/ Ouro: R$ 14.105,72
(vs. atual: R$ 9.213,13)
◀️ Março/2025: R$ 292.161,75
📈 Variação anual (prev.): -2.24%
💡 *INSIGHT ESTRATÉGICO*
A projeção atual nos distancia de todas as metas e nos coloca atrás do ano passado. Com apenas 8 dias, o desafio é grande: precisamos quase dobrar a média diária atual para buscar o Ouro (R$ 14.105,72 vs. R$ 9.213,13). Sugiro um ataque tático em duas frentes para este sprint final:
1.  **Elevação do Ticket Médio**: Implementar rapidamente campanhas agressivas de *cross-selling* com foco em pacotes de produtos (bundles) ou ofertas "Leve Mais por Menos", com metas claras e incentivo direto para a equipe de vendas.
2.  **Microssegmentação de Recompra**: Enviar via WhatsApp/CRM pequenas promoções ou vouchers de "última chance" para clientes que já fizeram compras no início do mês, incentivando uma visita rápida e uma compra incremental antes do fechamento. Acelerar forte agora é crucial para evitar fechar o mês e o trimestre abaixo do ano anterior.
📆 Projeção de fechamento: R$ 285.607,11
🗓️ Dias restantes: 8</t>
  </si>
  <si>
    <t>Atualização Comercial – MARÇO 2026
🔍 *RESUMO*
✔️ Realizado: R$ 210.579,93
📅 Média/dia: R$ 9.155,65
🎫 Ticket médio: R$ 34,05
👥 Atend./dia: 270
🎯 *METAS (vs. OURO)*
Desempenho: 66.74%
Faltam: R$ 104.954,76
(Bronze: R$ 306.769,84 | Prata: R$ 311.152,26 | Ouro: R$ 315.534,69)
📉 *COMPARAÇÕES*
◀️ Média necessária p/ Ouro: R$ 14.993,54
(vs. atual: R$ 9.155,65)
◀️ Março/2025: R$ 292.161,75
📈 Variação anual (prev.): -2.85%
💡 *INSIGHT ESTRATÉGICO*
Estamos na reta final de Março e o velocímetro nos indica que o **ritmo atual não nos levará ao pódio Ouro**. Com a projeção de fechamento abaixo da Meta Bronze e até mesmo aquém do ano anterior, os próximos 7 dias são cruciais para reverter esse cenário. Precisamos acelerar nossa média diária em 63% para buscar a Meta Ouro, ou seja, quase R$ 6 mil a mais por dia.
A minha recomendação é focar em um **"Modo Sprint &amp; Multiplicador"**:
1.  **Multiplicar o Ticket Médio:** Lançar uma ação de "Combo Vantagem" agressiva, com sugestões de produtos complementares que agreguem valor percebido e elevem o ticket, treinando a equipe para sugerir ativamente ao caixa.
2.  **Desafio "Item Extra":** Estabelecer uma meta interna para cada vendedor garantir a venda de *pelo menos um item adicional* em X% das transações, com incentivos diários claros.
3.  **Ponto Focal de Liquidez:** Identificar 2-3 SKUs de alto giro e margem que possam ter um incentivo de volume (ex: "Leve 3 Pague 2" ou "Compre X, Ganhe Y com 50% off") ativado apenas nos horários de maior movimento, para gerar um pico de vendas.
O objetivo é maximizar cada atendimento e impulsionar o valor médio da cesta de compras com urgência.
📆 Projeção de fechamento: R$ 283.825,12
🗓️ Dias restantes: 7</t>
  </si>
  <si>
    <t>Atualização Comercial – MARÇO 2026
🔍 *RESUMO*
✔️ Realizado: R$ 216.967,48
📅 Média/dia: R$ 9.040,31
🎫 Ticket médio: R$ 34,00
👥 Atend./dia: 267
🎯 *METAS (vs. OURO)*
Desempenho: 68.76%
Faltam: R$ 98.567,21
(Bronze: R$ 306.769,84 | Prata: R$ 311.152,26 | Ouro: R$ 315.534,69)
📉 *COMPARAÇÕES*
◀️ Média necessária p/ Ouro: R$ 16.427,87
(vs. atual: R$ 9.040,31)
◀️ Março/2025: R$ 292.161,75
📈 Variação anual (prev.): -4.08%
💡 *INSIGHT ESTRATÉGICO*
A reta final de Março exige um **sprint estratégico e cirúrgico**. A projeção atual nos coloca não apenas abaixo de todas as metas (inclusive Bronze), mas também com uma retração de 4.08% em relação a Março do ano passado, o que é um sinal crítico para nossa performance anual. A Meta Ouro exige que dobremos nossa média diária nos próximos 6 dias, um desafio monumental.
Com isso em mente, nossa ação imediata deve focar em **extrair o máximo valor de cada uma das 267 interações diárias**. O Ticket Médio de R$ 34,00 é nosso principal ponto de alavancagem. Recomendo uma "blitz" intensiva de **venda consultiva e sugestiva** para elevar este valor:
1.  **Campanhas de "Upgrade &amp; Adicionais":** Criar ofertas irresistíveis de *upselling* (versões premium ou maiores) e *cross-selling* (produtos complementares) com foco na conveniência e no benefício imediato ao cliente.
2.  **Kits e Combos Relâmpago:** Montar e promover combos com desconto progressivo para múltiplos itens, incentivando a compra de maior volume e valor.
3.  **Valorização do Atendimento:** Empoderar a equipe para não apenas atender, mas "servir" ao cliente, identificando necessidades não expressas e oferecendo soluções de maior valor agregado.
O objetivo é mitigar a queda em relação ao ano anterior e lutar para nos aproximarmos ao máximo da Meta Bronze, transformando cada oportunidade de venda em um ganho significativo.
📆 Projeção de fechamento: R$ 280.249,66
🗓️ Dias restantes: 6</t>
  </si>
  <si>
    <t>Atualização Comercial – MARÇO 2026
🔍 *RESUMO*
✔️ Realizado: R$ 227.617,60
📅 Média/dia: R$ 9.104,70
🎫 Ticket médio: R$ 33,91
👥 Atend./dia: 270
🎯 *METAS (vs. OURO)*
Desempenho: 72.14%
Faltam: R$ 87.917,09
(Bronze: R$ 306.769,84 | Prata: R$ 311.152,26 | Ouro: R$ 315.534,69)
📉 *COMPARAÇÕES*
◀️ Média necessária p/ Ouro: R$ 17.583,42
(vs. atual: R$ 9.104,70)
◀️ Março/2025: R$ 292.161,75
📈 Variação anual (prev.): -3.39%
💡 *INSIGHT ESTRATÉGICO*
Estamos na última curva com apenas 5 dias restantes e um desafio considerável: precisamos praticamente dobrar nossa média de vendas diárias (R$ 17.583,42 vs. R$ 9.104,70) para tocar a Meta Ouro. Nosso ticket médio de R$ 33,91, em conjunto com 270 atendimentos diários, revela que temos clientes, mas o valor por transação é o principal ponto de alavancagem agora. A projeção de fechamento abaixo do ano anterior acende um alerta.
**Ações Urgentes para a Reta Final:**
1.  **Foco no "Cesto Cheio":** Lançar um "Desafio do Ticket Dobrado" para a equipe. Com o tráfego existente, a meta é elevar o ticket médio para próximo de R$ 65. Isso pode ser alcançado com kits estratégicos, upsell agressivo de produtos de maior valor e ofertas "leve mais por um pouco mais".
2.  **Incentivo Relâmpago ao Cliente:** Criar uma "Hora da Oportunidade" com ofertas exclusivas e de alto valor percebido por períodos muito curtos (ex: 2h por dia), focando em produtos com maior margem ou itens complementares que elevem o valor final da compra.
3.  **Sprint de Reconhecimento Interno:** Estabelecer um ranking diário de ticket médio por vendedor e premiar os que mais contribuem para o aumento do valor da compra. Isso cria um senso de competição saudável e direciona o esforço para onde mais precisamos.
Esta é uma manobra tática para capitalizar o volume de atendimentos e converter visitas em valor, mitigando a projeção de desempenho abaixo de Março/2025.
📆 Projeção de fechamento: R$ 282.245,82
🗓️ Dias restantes: 5</t>
  </si>
  <si>
    <t>Atualização Comercial – MARÇO 2026
🔍 *RESUMO*
✔️ Realizado: R$ 236.303,68
📅 Média/dia: R$ 9.088,60
🎫 Ticket médio: R$ 34,02
👥 Atend./dia: 269
🎯 *METAS (vs. OURO)*
Desempenho: 74.89%
Faltam: R$ 79.231,01
(Bronze: R$ 306.769,84 | Prata: R$ 311.152,26 | Ouro: R$ 315.534,69)
📉 *COMPARAÇÕES*
◀️ Média necessária p/ Ouro: R$ 19.807,75
(vs. atual: R$ 9.088,60)
◀️ Março/2025: R$ 292.161,75
📈 Variação anual (prev.): -3.56%
💡 *INSIGHT ESTRATÉGICO*
Estamos nos últimos 4 dias e o desafio para alcançar o Ouro é monumental: precisamos mais que dobrar nossa performance diária atual (R$9.088,60 para R$19.807,75). Além disso, a projeção nos coloca abaixo do resultado do ano passado. Este cenário exige uma **blitz de vendas focada na transação**. Minha recomendação é acionar um **"Plano de Impulso Final"** focado em:
1.  **Aumento Compulsório de Itens por Compra:** Implementar um desafio de meta diária para a equipe de vendas focar em adicionar pelo menos um item extra de giro rápido e boa margem a cada venda. Isso impacta diretamente o ticket médio sem depender apenas de mais tráfego.
2.  **"Última Chamada" para Clientes VIP:** Identificar e contactar proativamente (via telefone ou WhatsApp personalizado) os clientes com maior histórico de gasto ou que não compram há mais de 30 dias, oferecendo uma vantagem exclusiva válida apenas para as próximas 48h.
Essas ações de alta intensidade são cruciais para uma virada estratégica e para mitigar a projeção de fechamento abaixo do ano anterior.
📆 Projeção de fechamento: R$ 281.746,70
🗓️ Dias restantes: 4</t>
  </si>
  <si>
    <t>Atualização Comercial – MARÇO 2026
🔍 *RESUMO*
✔️ Realizado: R$ 245.527,82
📅 Média/dia: R$ 9.093,62
🎫 Ticket médio: R$ 34,03
👥 Atend./dia: 269
🎯 *METAS (vs. OURO)*
Desempenho: 77.81%
Faltam: R$ 70.006,87
(Bronze: R$ 306.769,84 | Prata: R$ 311.152,26 | Ouro: R$ 315.534,69)
📉 *COMPARAÇÕES*
◀️ Média necessária p/ Ouro: R$ 23.335,62
(vs. atual: R$ 9.093,62)
◀️ Março/2025: R$ 292.161,75
📈 Variação anual (prev.): -3.51%
💡 *INSIGHT ESTRATÉGICO*
Estamos nos 3 dias finais de Março e o desafio para atingir a Meta Ouro é colossal, exigindo um salto diário de performance para quase 2.5x nossa média atual. A projeção de fechamento, infelizmente, nos coloca abaixo até mesmo da Meta Bronze e com uma retração de 3.51% em relação a Março/2025. É hora de uma "manobra de emergência" para o fechamento.
Para estas últimas 72 horas, nossa ação deve ser cirúrgica e de alto impacto:
1.  **Sprint no Ticket Médio:** Com 269 atendimentos diários, temos uma base para alavancar. Foco *obsessivo* em upsell e cross-sell no ponto de venda. Desenvolver e comunicar imediatamente combos "fim de mês" com margem otimizada ou valor percebido alto para o cliente.
2.  **Micro-Campanhas de Urgência:** Lançar ofertas relâmpago ultra-direcionadas (ex: via WhatsApp para clientes VIP ou de alta frequência) focando em produtos de alto valor agregado ou margem, com validade *apenas* para hoje/amanhã.
3.  **Engajamento de Performance:** Implementar um desafio de vendas de última hora para a equipe, com um bônus extra por atingir metas diárias agressivas que visem reduzir o gap para a Meta Bronze. Cada venda conta para a "virada" final.
O Ouro é extremamente difícil, mas podemos e devemos mitigar a distância para a Meta Bronze e trabalhar para que a variação anual não seja tão expressiva.
📆 Projeção de fechamento: R$ 281.902,31
🗓️ Dias restantes: 3</t>
  </si>
  <si>
    <t>Atualização Comercial – MARÇO 2026
🔍 *RESUMO*
✔️ Realizado: R$ 259.710,83
📅 Média/dia: R$ 9.275,39
🎫 Ticket médio: R$ 33,90
👥 Atend./dia: 276
🎯 *METAS (vs. OURO)*
Desempenho: 82.31%
Faltam: R$ 55.823,86
(Bronze: R$ 306.769,84 | Prata: R$ 311.152,26 | Ouro: R$ 315.534,69)
📉 *COMPARAÇÕES*
◀️ Média necessária p/ Ouro: R$ 27.911,93
(vs. atual: R$ 9.275,39)
◀️ Março/2025: R$ 292.161,75
📈 Variação anual (prev.): -1.58%
💡 *INSIGHT ESTRATÉGICO*
Estamos nos 45 do segundo tempo de Março e a Meta Ouro nos desafia a um sprint de proporções hercúleas, exigindo que tripliquemos nossa média diária atual em apenas 2 dias. Com a projeção de fechamento ainda abaixo de Março/2025, nossa estratégia agora é uma "missão de resgate" com foco cirúrgico no valor.
Sugiro uma *ofensiva imediata no Ticket Médio* no ponto de venda: Implementar "Combos de Fechamento" ou ofertas "Leve Mais por Menos" que incentivem um gasto maior por cliente. Simultaneamente, ativar nossa base de clientes mais engajados via WhatsApp com "condições exclusivas de fim de mês" para produtos de maior valor agregado ou margem.
O objetivo é claro: alavancar cada atendimento e contato digital para elevar o valor da cesta, buscando, no mínimo, superar o resultado do ano anterior e nos aproximar ao máximo das Metas Bronze/Prata. É tempo de agilidade e inteligência na execução para maximizar cada real neste final de mês.
📆 Projeção de fechamento: R$ 287.536,99
🗓️ Dias restantes: 2</t>
  </si>
  <si>
    <t>Atualização Comercial – MARÇO 2026
🔍 *RESUMO*
✔️ Realizado: R$ 267.329,10
📅 Média/dia: R$ 9.218,24
🎫 Ticket médio: R$ 33,92
👥 Atend./dia: 274
🎯 *METAS (vs. OURO)*
Desempenho: 84.72%
Faltam: R$ 48.205,59
(Bronze: R$ 306.769,84 | Prata: R$ 311.152,26 | Ouro: R$ 315.534,69)
📉 *COMPARAÇÕES*
◀️ Média necessária p/ Ouro: R$ 48.205,59
(vs. atual: R$ 9.218,24)
◀️ Março/2025: R$ 292.161,75
📈 Variação anual (prev.): -2.19%
💡 *INSIGHT ESTRATÉGICO*
Chegamos ao sprint final de Março com apenas 1 dia restante e um cenário que demanda realismo e ação imediata. A Meta Ouro, exigindo R$ 48.205,59 em 24 horas – mais de 5x nossa média diária atual –, está, infelizmente, fora de alcance. Nosso desempenho projetado (R$ 285.765,59) também nos coloca abaixo do resultado do ano anterior (R$ 292.161,75).
Para este último fôlego, o foco deve ser estratégico: **minimizar o gap em relação a Março/2025** e, principalmente, **superar a projeção de fechamento do mês**. Proponho uma "operação resgate" concentrada em dois pilares:
1.  **Injeção de Valor no Ticket Médio:** Com 274 atendimentos/dia, cada centavo no ticket médio tem um impacto exponencial. Mobilize a equipe para uma "blitz" de cross-selling e upselling em cada interação. Ofereça um incentivo extra para a venda de combos ou itens de maior valor agregado que possam elevar o ticket em R$5-R$10 por atendimento.
2.  **"Última Chamada" para Estoque Chave:** Identifique 2-3 SKUs com boa margem ou que precisam ser movimentados e crie uma oferta *exclusiva e válida apenas para hoje*, comunicada ativamente aos clientes. Isso pode gerar um pico de volume e valor nas últimas horas.
Este encerramento de mês é um termômetro valioso para nossa capacidade de reação. É crucial que este último dia sirva como um laboratório de agilidade, onde cada venda conta para melhorar o resultado final e extrair aprendizados para um Abril mais robusto.
📆 Projeção de fechamento: R$ 285.765,59
🗓️ Dias restantes: 1</t>
  </si>
  <si>
    <t>Atualização Comercial – MARÇO 2026
🔍 *RESUMO*
✔️ Realizado: R$ 282.731,38
📅 Média/dia: R$ 9.120,37
🎫 Ticket médio: R$ 33,84
👥 Atend./dia: 272
🎯 *METAS (vs. OURO)*
Desempenho: 89.60%
Faltam: R$ 32.803,31
(Bronze: R$ 306.769,84 | Prata: R$ 311.152,26 | Ouro: R$ 315.534,69)
📉 *COMPARAÇÕES*
◀️ Média necessária p/ Ouro: R$ 0,00
(vs. atual: R$ 9.120,37)
◀️ Março/2025: R$ 292.161,75
📈 Variação anual (prev.): -3.23%
💡 *INSIGHT ESTRATÉGICO*
Março se encerra com um desempenho que nos coloca abaixo de todas as metas e, mais crítico, com uma retração de 3.23% comparado ao mesmo período do ano passado. A "fotografia final" deste mês acende um alerta vermelho que não podemos ignorar. Com os resultados fechados, nossa energia deve migrar da expectativa para a ação. Recomendo um mergulho imediato na análise de mix de produtos, performance por canal e eficácia das campanhas realizadas em março. Paralelamente, para abril, precisamos virar o jogo com uma ofensiva de estratégias: focar na criação de bundles ou pacotes de valor agregado para elevar o ticket médio e intensificar a captação de novos clientes ou reativação da base, mirando em ampliar o volume de atendimentos e, consequentemente, as vendas. A hora é de revisão e reinvenção para abril.
📆 Projeção de fechamento: R$ 282.731,38
🗓️ Dias restantes: 0</t>
  </si>
  <si>
    <t>Atualização Comercial – ABRIL 2026
🔍 *RESUMO*
✔️ Realizado: R$ 13.337,02
📅 Média/dia: R$ 13.337,02
🎫 Ticket médio: R$ 42,47
👥 Atend./dia: 326
🎯 *METAS (vs. OURO)*
Desempenho: 4.30%
Faltam: R$ 297.112,48
(Bronze: R$ 301.825,90 | Prata: R$ 306.137,70 | Ouro: R$ 310.449,50)
📉 *COMPARAÇÕES*
◀️ Média necessária p/ Ouro: R$ 10.611,16
(vs. atual: R$ 13.337,02)
◀️ Abril/2025: R$ 287.453,24
📈 Variação anual (prev.): +39.19%
💡 *INSIGHT ESTRATÉGICO*
Excelente largada em ABRIL! O 1º dia superou em mais de R$ 2.700 a média diária necessária para o Ouro, com uma projeção de R$ 400.110,60 que aponta para um crescimento anual extraordinário de quase +40%. O fluxo de 326 atendimentos/dia é um ativo valioso. Para capitalizar este ritmo e solidificar a liderança, a estratégia agora é refinar a experiência de compra para elevar o ticket médio de R$ 42,47. Sugiro focar em **"Momentos de Adição"** no PDV: treinar a equipe para sugerir ativamente itens complementares, combos de valor ou pacotes estendidos. Um pequeno incremento por cliente pode nos impulsionar a patamares ainda mais altos, blindando o Ouro e quebrando recordes com folga.
📆 Projeção de fechamento: R$ 400.110,60
🗓️ Dias restantes: 28</t>
  </si>
  <si>
    <t>Atualização Comercial – ABRIL 2026
🔍 *RESUMO*
✔️ Realizado: R$ 25.920,09
📅 Média/dia: R$ 12.960,05
🎫 Ticket médio: R$ 41,94
👥 Atend./dia: 318
🎯 *METAS (vs. OURO)*
Desempenho: 8.35%
Faltam: R$ 284.529,41
(Bronze: R$ 301.825,90 | Prata: R$ 306.137,70 | Ouro: R$ 310.449,50)
📉 *COMPARAÇÕES*
◀️ Média necessária p/ Ouro: R$ 10.538,13
(vs. atual: R$ 12.960,05)
◀️ Abril/2025: R$ 287.453,24
📈 Variação anual (prev.): +35.26%
💡 *INSIGHT ESTRATÉGICO*
Abril começa com uma performance estelar! Nossa média diária (R$ 12.960,05) já supera o necessário para atingir a Meta Ouro (R$ 10.538,13), e a projeção de R$ 388.801,35 sinaliza um potencial de *recorde histórico*, com +35.26% sobre o ano anterior.
Para transformar este excelente início em um mês espetacular, a estratégia deve ser:
1.  **Decifrar os Motores:** Investigar rapidamente quais *produtos, categorias ou iniciativas de marketing* estão impulsionando essa arrancada. Qual é o DNA desse sucesso inicial?
2.  **Aceleração Focada:** Uma vez identificados os gatilhos, vamos *dobrar a aposta* neles. É o momento de intensificar as campanhas de maior retorno e otimizar a exposição dos "best-sellers" do momento.
3.  **Elevar o Patamar:** Com a Meta Ouro no radar da projeção, podemos instigar a equipe a ir além, mirando um novo pico de vendas para o mês. Importante é já mapear a capacidade operacional (estoque, logística, equipe) para garantir que possamos suportar e *capitalizar* esse volume excepcional. Vamos mirar um Abril lendário!
📆 Projeção de fechamento: R$ 388.801,35
🗓️ Dias restantes: 27</t>
  </si>
  <si>
    <t>Atualização Comercial – ABRIL 2026
🔍 *RESUMO*
✔️ Realizado: R$ 36.428,98
📅 Média/dia: R$ 12.142,99
🎫 Ticket médio: R$ 40,52
👥 Atend./dia: 310
🎯 *METAS (vs. OURO)*
Desempenho: 11.73%
Faltam: R$ 274.020,52
(Bronze: R$ 301.825,90 | Prata: R$ 306.137,70 | Ouro: R$ 310.449,50)
📉 *COMPARAÇÕES*
◀️ Média necessária p/ Ouro: R$ 10.539,25
(vs. atual: R$ 12.142,99)
◀️ Abril/2025: R$ 287.453,24
📈 Variação anual (prev.): +26.73%
💡 *INSIGHT ESTRATÉGICO*
Abril iniciou com um 'sprint' espetacular, superando confortavelmente a média diária necessária para atingir a Meta Ouro. A projeção atual nos coloca em rota para um desempenho histórico, superando significativamente o ano anterior. A estratégia agora é transformar este 'pulo inicial' em um voo sustentável e sem precedentes, garantindo que o teto da projeção se torne o piso do nosso real:
1.  **Decifrar o DNA do Sucesso:** É imperativo analisar *quais* produtos, categorias ou canais estão impulsionando essa performance acima da média. Identificar os "estrelas do show" nos permitirá replicar e escalar essas táticas vitoriosas para as próximas semanas.
2.  **Otimização Incremental no Ponto de Venda:** Com 310 atendimentos diários, há um enorme potencial em focar em estratégias de "segundo item" ou "upgrade" que elevem o Ticket Médio marginalmente. Uma pequena adição por cliente pode gerar um impacto massivo no volume final.
3.  **Construção de Colchão Estratégico:** Usar este ímpeto inicial para construir uma margem robusta sobre a meta. Isso nos dará flexibilidade para futuras ações de marketing ou adaptação a flutuações, consolidando uma vantagem competitiva para o restante do mês.
📆 Projeção de fechamento: R$ 364.289,80
🗓️ Dias restantes: 26</t>
  </si>
  <si>
    <t>Atualização Comercial – ABRIL 2026
🔍 *RESUMO*
✔️ Realizado: R$ 47.341,61
📅 Média/dia: R$ 11.835,40
🎫 Ticket médio: R$ 39,82
👥 Atend./dia: 306
🎯 *METAS (vs. OURO)*
Desempenho: 15.25%
Faltam: R$ 263.107,89
(Bronze: R$ 301.825,90 | Prata: R$ 306.137,70 | Ouro: R$ 310.449,50)
📉 *COMPARAÇÕES*
◀️ Média necessária p/ Ouro: R$ 10.524,32
(vs. atual: R$ 11.835,40)
◀️ Abril/2025: R$ 287.453,24
📈 Variação anual (prev.): +23.52%
💡 *INSIGHT ESTRATÉGICO*
O mês de abril começou com o "motor" a todo vapor, superando a expectativa inicial! Nossa média diária de vendas está confortavelmente *acima* do necessário para atingir a Meta Ouro, e a projeção de fechamento aponta para um crescimento excepcional de +23.52% sobre o ano anterior. Este é o momento perfeito para não só manter o ritmo, mas também para *maximizar cada interação*. Com um alto volume de atendimentos diários (306), nosso ticket médio de R$ 39,82 representa uma grande oportunidade de otimização. Sugiro um reforço nas estratégias de *upsell e cross-sell*, focando em *combos* e na promoção de *produtos de maior valor agregado*. Isso transformará nosso excelente fluxo de clientes em um salto ainda maior no faturamento, garantindo a Meta Ouro e pavimentando o caminho para um novo recorde.
📆 Projeção de fechamento: R$ 355.062,07
🗓️ Dias restantes: 25</t>
  </si>
  <si>
    <t>Atualização Comercial – ABRIL 2026
🔍 *RESUMO*
✔️ Realizado: R$ 57.358,61
📅 Média/dia: R$ 11.471,72
🎫 Ticket médio: R$ 40,88
👥 Atend./dia: 288
🎯 *METAS (vs. OURO)*
Desempenho: 18.48%
Faltam: R$ 253.090,89
(Bronze: R$ 301.825,90 | Prata: R$ 306.137,70 | Ouro: R$ 310.449,50)
📉 *COMPARAÇÕES*
◀️ Média necessária p/ Ouro: R$ 10.545,45
(vs. atual: R$ 11.471,72)
◀️ Abril/2025: R$ 287.453,24
📈 Variação anual (prev.): +19.72%
💡 *INSIGHT ESTRATÉGICO*
Um verdadeiro *arranque de corrida* em abril! Nossos primeiros dias demonstram uma performance robusta: a média de vendas diária atual (R$ 11.471,72) já ultrapassa o ritmo necessário para alcançarmos a Meta Ouro. Essa vantagem nos coloca em uma posição estratégica para não apenas atingir, mas potencialmente *pulverizar* o target mais alto, projetando um crescimento de quase 20% em relação ao ano anterior.
Para maximizar este excelente início e criar uma margem ainda mais confortável, sugiro duas frentes:
1.  **Otimização do Fluxo de Atendimento:** Com 288 atendimentos diários, podemos explorar gargalos ou oportunidades de otimização na jornada do cliente, visando não só a manutenção desse volume, mas aprimorar a conversão e o tempo de resposta, garantindo que cada cliente seja uma venda fechada e, se possível, de maior valor.
2.  **Incentivo à Venda de Pacotes/Combos:** Embora o ticket médio seja consistente, este é o momento ideal para a equipe focar proativamente na venda de "soluções completas" ou "pacotes premium". Desenvolver scripts e treinamentos rápidos sobre como apresentar combos estratégicos pode impulsionar o valor de cada transação, transformando um bom ticket em um ótimo ticket sem depender apenas do aumento de fluxo.
Este ritmo promissor é um forte indicativo de que estamos construindo uma base sólida para um mês recorde.
📆 Projeção de fechamento: R$ 344.151,66
🗓️ Dias restantes: 24</t>
  </si>
  <si>
    <t>Atualização Comercial – ABRIL 2026
🔍 *RESUMO*
✔️ Realizado: R$ 65.729,78
📅 Média/dia: R$ 10.954,96
🎫 Ticket médio: R$ 39,62
👥 Atend./dia: 283
🎯 *METAS (vs. OURO)*
Desempenho: 21.17%
Faltam: R$ 244.719,72
(Bronze: R$ 301.825,90 | Prata: R$ 306.137,70 | Ouro: R$ 310.449,50)
📉 *COMPARAÇÕES*
◀️ Média necessária p/ Ouro: R$ 10.639,99
(vs. atual: R$ 10.954,96)
◀️ Abril/2025: R$ 287.453,24
📈 Variação anual (prev.): +14.33%
💡 *INSIGHT ESTRATÉGICO*
Excelente início, Diretoria! Abril acelera forte: já estamos com nossa *média diária acima do necessário para bater a Meta Ouro*, um sinal verde claro no nosso painel de controle. A projeção de fechamento, com +14% sobre o ano anterior, confirma que temos *o motor a todo vapor*. Para não só mantermos, mas *ampliarmos essa vantagem e construirmos um mês recorde*, proponho um foco cirúrgico em dois pontos: 1) **Otimização do Ticket Médio**: Com 283 atendimentos/dia, cada centavo a mais por venda tem um impacto exponencial. Vamos intensificar treinamentos e incentivos para cross-selling e up-selling. 2) **Desafio "Ouro Plus" para a equipe**: Lançar micro-metas diárias e reconhecimento para elevar ainda mais a energia e o desempenho. É o momento de transformar um bom começo num resultado extraordinário!
📆 Projeção de fechamento: R$ 328.648,90
🗓️ Dias restantes: 23</t>
  </si>
  <si>
    <t>Atualização Comercial – ABRIL 2026
🔍 *RESUMO*
✔️ Realizado: R$ 72.817,87
📅 Média/dia: R$ 10.402,55
🎫 Ticket médio: R$ 38,94
👥 Atend./dia: 272
🎯 *METAS (vs. OURO)*
Desempenho: 23.46%
Faltam: R$ 237.631,63
(Bronze: R$ 301.825,90 | Prata: R$ 306.137,70 | Ouro: R$ 310.449,50)
📉 *COMPARAÇÕES*
◀️ Média necessária p/ Ouro: R$ 10.801,44
(vs. atual: R$ 10.402,55)
◀️ Abril/2025: R$ 287.453,24
📈 Variação anual (prev.): +8.57%
💡 *INSIGHT ESTRATÉGICO*
O mês de abril começou com o vento a nosso favor! A projeção de fechamento já nos posiciona acima da Meta Ouro, com um crescimento robusto de +8.57% YoY. É um excelente ponto de partida, mostrando a força da nossa base de clientes e operações.
Contudo, para garantir que não apenas mantenhamos essa trajetória, mas a impulsionemos ainda mais e blindemos a projeção, notamos que a média de vendas diária atual está apenas um degrau abaixo do ritmo necessário para consolidar o Ouro nos dias restantes. A diferença é pequena, mas fundamental para não depender apenas da projeção otimista.
**Recomendação:** Com nosso volume de 272 atendimentos/dia, a alavanca mais potente agora é o **Ticket Médio**. Sugiro focar em estratégias que "engordem" a cesta do cliente em cada compra, transformando cada atendimento em uma venda mais rentável:
1.  **Mini Combos Estratégicos:** Kits de produtos complementares com um pequeno incentivo de preço.
2.  **'Produto do Dia' Adicional:** Um item de baixo custo e alta margem sugerido ativamente no momento do checkout.
3.  **Desafio de Cross-Selling:** Motivar e capacitar a equipe a adicionar ativamente 1 item a mais por atendimento, transformando o Ticket Médio de R$38,94 em R$40-R$42.
Este pequeno incremento, replicado em nossos atendimentos diários, nos dará o impulso necessário para ir além da Meta Ouro e capitalizar este ótimo início de mês com margens ainda melhores.
📆 Projeção de fechamento: R$ 312.076,59
🗓️ Dias restantes: 22</t>
  </si>
  <si>
    <t>Atualização Comercial – ABRIL 2026
🔍 *RESUMO*
✔️ Realizado: R$ 73.108,34
📅 Média/dia: R$ 10.444,05
🎫 Ticket médio: R$ 39,10
👥 Atend./dia: 272
🎯 *METAS (vs. OURO)*
Desempenho: 23.55%
Faltam: R$ 237.341,16
(Bronze: R$ 301.825,90 | Prata: R$ 306.137,70 | Ouro: R$ 310.449,50)
📉 *COMPARAÇÕES*
◀️ Média necessária p/ Ouro: R$ 11.301,96
(vs. atual: R$ 10.444,05)
◀️ Abril/2025: R$ 287.453,24
📈 Variação anual (prev.): +9.00%
💡 *INSIGHT ESTRATÉGICO*
Abril inicia com um vento a nosso favor! A projeção de fechamento *supera* nossa Meta Ouro e aponta para um crescimento sólido de 9% sobre o ano passado. Essa é uma pista clara do nosso potencial, mas para transformar essa projeção em certeza e não apenas uma expectativa, precisamos de um *impulso estratégico* no ritmo diário. Nossa média atual (R$ 10.444,05) está um degrau abaixo do que precisamos para cravar o Ouro (R$ 11.301,96) a cada dia restante.
A recomendação é acionar uma "blitz de valor" nas próximas semanas:
1.  **Otimização do Ticket Médio:** Com 272 atendimentos/dia, um aumento de apenas R$3,15 no Ticket Médio levaria nossa média diária para o patamar do Ouro. Que tal promover combos inteligentes ou produtos complementares que agreguem valor de forma perceptível ao cliente?
2.  **Campanhas Foco em Margem:** Identificar os produtos de maior margem e incentivar a equipe a posicioná-los estrategicamente, talvez com um incentivo extra para vendas desses itens.
3.  **Desafio "Degrau para o Ouro":** Engajar a equipe com um desafio diário para superar a média de R$ 11.301,96, transformando a meta em um objetivo tangível e divertido. Temos a rota para o Ouro traçada; agora é acelerar para garantir a chegada!
📆 Projeção de fechamento: R$ 313.321,46
🗓️ Dias restantes: 21</t>
  </si>
  <si>
    <t>Atualização Comercial – ABRIL 2026
🔍 *RESUMO*
✔️ Realizado: R$ 86.782,67
📅 Média/dia: R$ 9.642,52
🎫 Ticket médio: R$ 37,58
👥 Atend./dia: 261
🎯 *METAS (vs. OURO)*
Desempenho: 27.95%
Faltam: R$ 223.666,83
(Bronze: R$ 301.825,90 | Prata: R$ 306.137,70 | Ouro: R$ 310.449,50)
📉 *COMPARAÇÕES*
◀️ Média necessária p/ Ouro: R$ 11.183,34
(vs. atual: R$ 9.642,52)
◀️ Abril/2025: R$ 287.453,24
📈 Variação anual (prev.): +0.63%
💡 *INSIGHT ESTRATÉGICO*
O mês de Abril segue com um bom volume de atendimentos diários, o que demonstra o engajamento da equipe na atração de clientes. No entanto, nossa projeção atual de R$ 289.275,57 indica que estamos em rota de colisão com as metas, ficando abaixo até mesmo da Bronze e com um crescimento quase nulo frente ao ano passado (+0.63%). Para reajustar o "termômetro" do mês e atingir a meta Ouro, precisamos elevar nossa média diária em R$ 1.540,82. A chave não está apenas em trazer mais gente, mas em maximizar o valor de cada interação. Com um Ticket Médio de R$ 37,58 e 261 atendimentos/dia, a oportunidade mora em transformar volume em valor. Proponho uma estratégia focada em impulsionar o Ticket Médio através de: 1) Campanhas de *upselling* e *cross-selling* com produtos complementares de maior valor agregado; 2) Criação de "Combos Inteligentes" que elevem o valor percebido e o gasto por cliente; e 3) Treinamento rápido para a equipe de vendas focar em sugestões proativas no PDV. Temos 20 dias para reverter essa tendência e buscar um resultado expressivo.
📆 Projeção de fechamento: R$ 289.275,57
🗓️ Dias restantes: 20</t>
  </si>
  <si>
    <t>Atualização Comercial – ABRIL 2026
🔍 *RESUMO*
✔️ Realizado: R$ 97.064,08
📅 Média/dia: R$ 9.706,41
🎫 Ticket médio: R$ 37,55
👥 Atend./dia: 263
🎯 *METAS (vs. OURO)*
Desempenho: 31.27%
Faltam: R$ 213.385,42
(Bronze: R$ 301.825,90 | Prata: R$ 306.137,70 | Ouro: R$ 310.449,50)
📉 *COMPARAÇÕES*
◀️ Média necessária p/ Ouro: R$ 11.230,81
(vs. atual: R$ 9.706,41)
◀️ Abril/2025: R$ 287.453,24
📈 Variação anual (prev.): +1.30%
💡 *INSIGHT ESTRATÉGICO*
Estamos construindo um volume sólido de atendimentos, mas nossa projeção atual nos coloca abaixo da Meta Bronze, o que exige um ajuste de rota imediato. O ponto de alavancagem mais promissor é o nosso ticket médio de R$ 37,55. Para alcançarmos a ambiciosa Meta Ouro, precisamos elevar nossa média diária em R$ 1.524,40. Isso se traduz em um desafio muito claro: *aumentar o ticket médio em apenas R$ 5,80 por cada um dos 263 atendimentos diários.*
Minha sugestão é lançarmos um "Desafio do Carrinho Turbinado" para a equipe de vendas nas próximas 48 horas, com foco em:
1.  **Criação de Combos Inteligentes:** Agrupando produtos complementares que naturalmente elevem o valor da compra.
2.  **Upselling de Destaque:** Incentivar a venda de versões premium ou com maior valor agregado de itens populares.
Essa estratégia nos permitirá capitalizar sobre o bom fluxo de clientes, transformando cada atendimento em uma oportunidade de acelerar significativamente em direção ao Ouro.
📆 Projeção de fechamento: R$ 291.192,24
🗓️ Dias restantes: 19</t>
  </si>
  <si>
    <t>Atualização Comercial – ABRIL 2026
🔍 *RESUMO*
✔️ Realizado: R$ 110.354,20
📅 Média/dia: R$ 10.032,20
🎫 Ticket médio: R$ 37,56
👥 Atend./dia: 272
🎯 *METAS (vs. OURO)*
Desempenho: 35.55%
Faltam: R$ 200.095,30
(Bronze: R$ 301.825,90 | Prata: R$ 306.137,70 | Ouro: R$ 310.449,50)
📉 *COMPARAÇÕES*
◀️ Média necessária p/ Ouro: R$ 11.116,41
(vs. atual: R$ 10.032,20)
◀️ Abril/2025: R$ 287.453,24
📈 Variação anual (prev.): +4.70%
💡 *INSIGHT ESTRATÉGICO*
Nossa projeção de R$ 300.966,00, embora mostre um avanço de 4.70% sobre o ano anterior, aponta para um cenário crítico: ficaremos abaixo até da Meta Bronze se mantivermos o ritmo. Estamos R$ 1.084,21 abaixo da média diária necessária para o Ouro. A pista de decolagem está pronta, mas a velocidade não é suficiente.
A recomendação é focar em **aumentar a potência de cada atendimento**, não apenas o volume:
1.  **Turbinar o Ticket Médio:** Treinamento acelerado para a equipe em técnicas de *upsell* e *cross-sell*, incentivando a venda de produtos complementares ou de maior valor agregado.
2.  **Ofertas de Valor:** Criar e comunicar *kits estratégicos* ou 'soluções completas' que naturalmente elevem o gasto por cliente, transformando um Ticket Médio de R$ 37,56 em um de R$ 40+.
Precisamos escalar essa montanha para reverter a projeção e mirar, no mínimo, a Meta Prata.
📆 Projeção de fechamento: R$ 300.966,00
🗓️ Dias restantes: 18</t>
  </si>
  <si>
    <t>Atualização Comercial – ABRIL 2026
🔍 *RESUMO*
✔️ Realizado: R$ 119.392,84
📅 Média/dia: R$ 9.949,40
🎫 Ticket médio: R$ 37,65
👥 Atend./dia: 268
🎯 *METAS (vs. OURO)*
Desempenho: 38.46%
Faltam: R$ 191.056,66
(Bronze: R$ 301.825,90 | Prata: R$ 306.137,70 | Ouro: R$ 310.449,50)
📉 *COMPARAÇÕES*
◀️ Média necessária p/ Ouro: R$ 11.238,63
(vs. atual: R$ 9.949,40)
◀️ Abril/2025: R$ 287.453,24
📈 Variação anual (prev.): +3.84%
💡 *INSIGHT ESTRATÉGICO*
A projeção atual nos posiciona abaixo de *todas* as metas para abril, inclusive a Bronze, apesar de um crescimento saudável de quase 4% vs. ano anterior. A "turbina" das vendas diárias (R$ 9.949,40) precisa de um upgrade imediato para alcançar a rota do Ouro (R$ 11.238,63 exigidos). Com 17 dias e um alto volume de 268 atendimentos diários, temos a pista pronta para decolar. A chave está em *maximizar o valor de cada passageiro*. Recomendo uma campanha intensiva de *upsell e cross-sell*, com foco em combos promocionais e pacotes de produtos complementares. Além disso, podemos introduzir um "incentivo de patamar" (ex: "ganhe X ao gastar acima de R$ Y") para impulsionar o ticket médio e recalibrar nossa trajetória rumo ao alvo.
📆 Projeção de fechamento: R$ 298.482,10
🗓️ Dias restantes: 17</t>
  </si>
  <si>
    <t>Atualização Comercial – ABRIL 2026
🔍 *RESUMO*
✔️ Realizado: R$ 131.268,45
📅 Média/dia: R$ 10.097,57
🎫 Ticket médio: R$ 37,35
👥 Atend./dia: 274
🎯 *METAS (vs. OURO)*
Desempenho: 42.28%
Faltam: R$ 179.181,05
(Bronze: R$ 301.825,90 | Prata: R$ 306.137,70 | Ouro: R$ 310.449,50)
📉 *COMPARAÇÕES*
◀️ Média necessária p/ Ouro: R$ 11.198,82
(vs. atual: R$ 10.097,57)
◀️ Abril/2025: R$ 287.453,24
📈 Variação anual (prev.): +5.38%
💡 *INSIGHT ESTRATÉGICO*
Estamos com uma projeção robusta, superando o ano anterior e nos posicionando acima da meta Bronze. No entanto, para alcançar o Ouro, nosso 'velocímetro' diário precisa subir de R$ 10.097 para R$ 11.198. A lacuna é gerenciável, mas exige um foco estratégico. Minha recomendação é ativar um *plano de aceleração no Ticket Médio* para os próximos 16 dias. Podemos implementar desafios de *upselling/cross-selling* com incentivos diretos para a equipe, focando em combos de produtos complementares ou ofertas de 'upgrade' no ponto de venda. Cada interação com o cliente se torna uma oportunidade para maximizar o valor, impulsionando a média diária e nos colocando firmemente na corrida pelo Ouro.
📆 Projeção de fechamento: R$ 302.927,19
🗓️ Dias restantes: 16</t>
  </si>
  <si>
    <t>Atualização Comercial – ABRIL 2026
🔍 *RESUMO*
✔️ Realizado: R$ 137.353,61
📅 Média/dia: R$ 9.810,97
🎫 Ticket médio: R$ 37,17
👥 Atend./dia: 268
🎯 *METAS (vs. OURO)*
Desempenho: 44.24%
Faltam: R$ 173.095,89
(Bronze: R$ 301.825,90 | Prata: R$ 306.137,70 | Ouro: R$ 310.449,50)
📉 *COMPARAÇÕES*
◀️ Média necessária p/ Ouro: R$ 11.539,73
(vs. atual: R$ 9.810,97)
◀️ Abril/2025: R$ 287.453,24
📈 Variação anual (prev.): +2.39%
💡 *INSIGHT ESTRATÉGICO*
Análise de meio de mês indica que a projeção de fechamento (R$ 294.329,16) está **aquém de todas as metas**, inclusive a Bronze. O "salto" para o Ouro nos próximos 15 dias requer um ritmo diário bem mais intenso: R$ 11.539,73 versus nossos atuais R$ 9.810,97. Precisamos de R$ 1.728,76 a mais por dia para fechar essa lacuna. Embora a projeção mostre um crescimento de +2.39% sobre o ano anterior, precisamos **"acelerar o pulso"** para cumprir as metas ambiciosas de 2026.
**Recomendações urgentes para os próximos 15 dias:**
1.  **Acelerar o Ticket Médio:** Foco em **combos inteligentes e ofertas de valor agregado** (Ex: "Leve 2, pague 1,5" em categorias complementares) e treinamentos express de upselling para a equipe, com incentivos claros atrelados à performance individual.
2.  **Ativar o Fluxo Qualificado:** Lançar uma **campanha de reativação via WhatsApp/SMS** para clientes VIP ou inativos há 30-60 dias, com uma oferta exclusiva e por tempo limitado para impulsionar atendimentos qualificados e conversões rápidas.
3.  **Performance em Pista:** Implementar um **monitoramento intensivo das conversões e do ticket médio por vendedor em tempo real**. Ações de feedback e micro-ajustes durante o dia são cruciais para otimizar cada interação na loja e garantir que a equipe esteja focada em bater a meta diária.
📆 Projeção de fechamento: R$ 294.329,16
🗓️ Dias restantes: 15</t>
  </si>
  <si>
    <t>Atualização Comercial – ABRIL 2026
🔍 *RESUMO*
✔️ Realizado: R$ 144.390,23
📅 Média/dia: R$ 9.626,02
🎫 Ticket médio: R$ 36,92
👥 Atend./dia: 265
🎯 *METAS (vs. OURO)*
Desempenho: 46.51%
Faltam: R$ 166.059,27
(Bronze: R$ 301.825,90 | Prata: R$ 306.137,70 | Ouro: R$ 310.449,50)
📉 *COMPARAÇÕES*
◀️ Média necessária p/ Ouro: R$ 11.861,38
(vs. atual: R$ 9.626,02)
◀️ Abril/2025: R$ 287.453,24
📈 Variação anual (prev.): +0.46%
💡 *INSIGHT ESTRATÉGICO*
A projeção de fechamento em R$ 288.780,46, **abaixo até da Meta Bronze**, e com um crescimento marginal de apenas 0.46% vs. ano anterior, nos sinaliza que o "piloto automático" não nos levará ao destino desejado. Precisamos de uma **guinada tática imediata**. Para alcançar a Meta Ouro, necessitamos de R$ 11.861,38 diários, um salto de 23% sobre a média atual. Sugiro: 1) Lançar uma **Campanha Flash de Valor Agregado** focada em combos ou produtos de maior margem/ticket para impulsionar a média diária e o valor por atendimento. 2) Uma **Blitz de Ativação** para clientes de alta frequência/valor inativos, gerando vendas rápidas e direcionadas nos próximos 14 dias. O foco é recalibrar nossa rota para, no mínimo, garantir a Meta Prata e mirar o Ouro com estratégias ativas.
📆 Projeção de fechamento: R$ 288.780,46
🗓️ Dias restantes: 14</t>
  </si>
  <si>
    <t>Atualização Comercial – ABRIL 2026
🔍 *RESUMO*
✔️ Realizado: R$ 160.334,51
📅 Média/dia: R$ 9.431,44
🎫 Ticket médio: R$ 36,75
👥 Atend./dia: 260
🎯 *METAS (vs. OURO)*
Desempenho: 51.65%
Faltam: R$ 150.114,99
(Bronze: R$ 301.825,90 | Prata: R$ 306.137,70 | Ouro: R$ 310.449,50)
📉 *COMPARAÇÕES*
◀️ Média necessária p/ Ouro: R$ 12.509,58
(vs. atual: R$ 9.431,44)
◀️ Abril/2025: R$ 287.453,24
📈 Variação anual (prev.): -1.57%
💡 *INSIGHT ESTRATÉGICO*
Abril exige um sprint final estratégico. Estamos na segunda metade do mês com 51% da Meta Ouro alcançada, mas a projeção atual (R$ 282.943,25) nos deixa aquém de todas as metas e abaixo do desempenho de 2025. O grande desafio é o *salto* da média diária de R$ 9.431,44 para R$ 12.509,58 nos próximos 12 dias. Isso representa um aumento de mais de 32% no ritmo atual!
Não podemos apenas esperar. Precisamos de uma "reengenharia de vendas" imediata:
1.  **Alavancar o Ticket Médio:** Com R$ 36,75, há espaço para crescimento. Implementar um programa de *"Mini-Metas de Upgrade"* por atendimento, focando em combos de produtos de maior valor percebido (ex: "Leve o Kit Essencial e ganhe X% no acessório"). Treinar a equipe para sugestões ativas e focadas na necessidade do cliente, impulsionando a venda de itens complementares de maior margem.
2.  **Otimizar o Fluxo e a Conversão:** Analisar os horários de pico e baixo movimento para lançar "Ofertas relâmpago" via SMS/WhatsApp para clientes próximos, visando atrair mais atendimentos e reativar clientes inativos com propostas irrecusáveis para produtos específicos.
O objetivo é claro: reverter a projeção negativa e fechar o mês com um desempenho que supere Abril/2025, mirando as metas Bronze/Prata como piso. A janela é curta; a execução precisa ser cirúrgica e engajada em cada PDV.
📆 Projeção de fechamento: R$ 282.943,25
🗓️ Dias restantes: 12</t>
  </si>
  <si>
    <t>Atualização Comercial – ABRIL 2026
🔍 *RESUMO*
✔️ Realizado: R$ 171.100,02
📅 Média/dia: R$ 9.505,56
🎫 Ticket médio: R$ 36,45
👥 Atend./dia: 264
🎯 *METAS (vs. OURO)*
Desempenho: 55.11%
Faltam: R$ 139.349,48
(Bronze: R$ 301.825,90 | Prata: R$ 306.137,70 | Ouro: R$ 310.449,50)
📉 *COMPARAÇÕES*
◀️ Média necessária p/ Ouro: R$ 12.668,13
(vs. atual: R$ 9.505,56)
◀️ Abril/2025: R$ 287.453,24
📈 Variação anual (prev.): -0.80%
💡 *INSIGHT ESTRATÉGICO*
"A performance de Abril chegou a um *ponto de virada* crítico. Com apenas 11 dias restantes, a projeção atual nos coloca *abaixo* da Meta Bronze e do resultado do ano passado. Para sequer sonharmos com Ouro, precisamos de um 'boost' de 33% na média diária – saltando de R$ 9.505 para R$ 12.668. Este é um desafio tático que exige foco e agilidade.
Nossa estratégia para este sprint final deve ser *'Multiplicar o Valor por Interação'*:
1.  **Turbo no Ticket Médio (TM):** Com 264 atendimentos/dia, cada cliente é uma oportunidade de valor. Focar na alavancagem do ticket via cross-selling (ex: "comprar X e adicionar Y"), up-selling (versão premium) e combos de valor. Treinamento relâmpago para a equipe sobre as 3 melhores sugestões de 'adicione ao carrinho' que complementem a compra principal.
2.  **Conversão Máxima:** Revisar os pontos de fricção no funil de vendas (online e offline). Há oportunidades para transformar mais visitas/leads em vendas efetivas com ofertas de fechamento?
3.  **Sprint de Ofertas Táticas:** Lançar promoções específicas de *curta duração* (2-3 dias, com comunicação de urgência) em produtos estratégicos com alta margem e giro, visando impulsionar volume e TM simultaneamente.
Precisamos de uma execução impecável e focada nos próximos dias para reverter a trajetória e garantir um fechamento forte, superando a projeção atual e, no mínimo, a Meta Bronze."
📆 Projeção de fechamento: R$ 285.166,70
🗓️ Dias restantes: 11</t>
  </si>
  <si>
    <t>Atualização Comercial – ABRIL 2026
🔍 *RESUMO*
✔️ Realizado: R$ 182.215,37
📅 Média/dia: R$ 9.590,28
🎫 Ticket médio: R$ 36,40
👥 Atend./dia: 267
🎯 *METAS (vs. OURO)*
Desempenho: 58.69%
Faltam: R$ 128.234,13
(Bronze: R$ 301.825,90 | Prata: R$ 306.137,70 | Ouro: R$ 310.449,50)
📉 *COMPARAÇÕES*
◀️ Média necessária p/ Ouro: R$ 12.823,41
(vs. atual: R$ 9.590,28)
◀️ Abril/2025: R$ 287.453,24
📈 Variação anual (prev.): +0.09%
💡 *INSIGHT ESTRATÉGICO*
A reta final de Abril nos exige uma aceleração urgente. Nossa projeção de fechamento está aquém de todas as metas e apenas empata com o ano anterior, indicando estagnação. Para o Ouro, precisamos elevar nossa média diária em mais de R$ 3.200 nos próximos 10 dias – um salto de 33.7%! O plano de ação precisa ser imediato e focado: **1) Maximização do Ticket Médio:** Estruture rapidamente ofertas de combos e upsell de produtos complementares de maior valor. **2) Intensificação do Fluxo/Conversão:** Lance promoções flash (ex: "Últimos 10 Dias de Abril") para SKU's específicos ou ative base de clientes com vouchers de compra mínima. O time precisa de clareza, ferramentas e um senso de urgência para reverter o cenário e buscar o pódio.
📆 Projeção de fechamento: R$ 287.708,48
🗓️ Dias restantes: 10</t>
  </si>
  <si>
    <t>Atualização Comercial – ABRIL 2026
🔍 *RESUMO*
✔️ Realizado: R$ 192.189,25
📅 Média/dia: R$ 9.609,46
🎫 Ticket médio: R$ 36,28
👥 Atend./dia: 268
🎯 *METAS (vs. OURO)*
Desempenho: 61.91%
Faltam: R$ 118.260,25
(Bronze: R$ 301.825,90 | Prata: R$ 306.137,70 | Ouro: R$ 310.449,50)
📉 *COMPARAÇÕES*
◀️ Média necessária p/ Ouro: R$ 13.140,03
(vs. atual: R$ 9.609,46)
◀️ Abril/2025: R$ 287.453,24
📈 Variação anual (prev.): +0.29%
💡 *INSIGHT ESTRATÉGICO*
Estamos nos aproximando da linha de chegada de abril, mas a projeção atual de R$ 288.283,87 nos deixa aquém até mesmo da Meta Bronze, e com um crescimento quase imperceptível frente ao ano passado (+0.29%). Para buscar a Meta Ouro nos 9 dias restantes, precisamos de uma *virada de chave estratégica*, elevando nossa média diária em mais de 36% (de R$ 9.609,46 para R$ 13.140,03).
Com 268 atendimentos diários, temos uma boa frequência, mas o Ticket Médio de R$ 36,28 sugere que não estamos maximizando o potencial de cada interação. A chave para essa virada está em *engrossar o volume financeiro por transação*, e não apenas na quantidade.
**Recomendações URGENTES para os próximos 9 dias:**
1.  **Foco no "Carrinho Cheio":** Implementar um desafio de equipe com bônus para quem consistentemente aumentar o Ticket Médio através de estratégias de up-selling e cross-selling, com produtos complementares e de maior margem.
2.  **Flash Offers de Última Hora:** Criar e comunicar ofertas por tempo limitado em bundles de produtos ou "leve X pague Y" que incentivem um gasto maior por cliente, com ênfase em itens que elevem o valor da compra.
3.  **Targeting Inteligente:** Direcionar a equipe para focar em clientes com potencial para compras de maior valor ou na reativação de clientes VIP, usando dados de histórico de compras para personalizar ofertas.
É crucial uma execução impecável e um monitoramento diário da média por vendedor para garantirmos um fechamento de mês robusto e com crescimento significativo.
📆 Projeção de fechamento: R$ 288.283,87
🗓️ Dias restantes: 9</t>
  </si>
  <si>
    <t>Atualização Comercial – ABRIL 2026
🔍 *RESUMO*
✔️ Realizado: R$ 201.100,18
📅 Média/dia: R$ 9.576,20
🎫 Ticket médio: R$ 36,29
👥 Atend./dia: 267
🎯 *METAS (vs. OURO)*
Desempenho: 64.78%
Faltam: R$ 109.349,32
(Bronze: R$ 301.825,90 | Prata: R$ 306.137,70 | Ouro: R$ 310.449,50)
📉 *COMPARAÇÕES*
◀️ Média necessária p/ Ouro: R$ 13.668,67
(vs. atual: R$ 9.576,20)
◀️ Abril/2025: R$ 287.453,24
📈 Variação anual (prev.): -0.06%
💡 *INSIGHT ESTRATÉGICO*
Com apenas 8 dias restantes, estamos no "apagar das luzes" de abril, e a projeção atual nos posiciona abaixo de *todas* as metas e ligeiramente aquém do ano anterior. O desafio de alcançar o Ouro exige uma elevação de mais de 40% na nossa média diária. Não se trata apenas de aumentar o número de vendas, mas de *recalibrar o valor de cada transação*. Sugiro um plano de ação intensivo nos próximos dias, focado em: 1) Lançar um *"Desafio Ticket Alto"* para a equipe, incentivando o upselling e cross-selling de produtos de maior margem para elevar o ticket médio para *no mínimo R$ 45*. 2) Criar *"Combos Estratégicos de Última Hora"* com bundles de produtos complementares, oferecendo valor percebido para o cliente e, ao mesmo tempo, impulsionando nosso volume financeiro por atendimento. É o momento de sermos cirúrgicos na nossa abordagem e extrair o máximo potencial de cada cliente que entra na loja.
📆 Projeção de fechamento: R$ 287.285,97
🗓️ Dias restantes: 8</t>
  </si>
  <si>
    <t>Atualização Comercial – ABRIL 2026
🔍 *RESUMO*
✔️ Realizado: R$ 209.273,24
📅 Média/dia: R$ 9.512,42
🎫 Ticket médio: R$ 36,14
👥 Atend./dia: 266
🎯 *METAS (vs. OURO)*
Desempenho: 67.41%
Faltam: R$ 101.176,26
(Bronze: R$ 301.825,90 | Prata: R$ 306.137,70 | Ouro: R$ 310.449,50)
📉 *COMPARAÇÕES*
◀️ Média necessária p/ Ouro: R$ 14.453,75
(vs. atual: R$ 9.512,42)
◀️ Abril/2025: R$ 287.453,24
📈 Variação anual (prev.): -0.72%
💡 *INSIGHT ESTRATÉGICO*
Estamos em um "sprint final" crucial com 7 dias restantes. Embora tenhamos um volume considerável, a projeção atual de R$ 285k está abaixo de *todas* as metas e ligeiramente aquém do ano anterior. O desafio é significativo: precisamos elevar a média diária em mais de 50% para buscar o Ouro. Isso exige uma **abordagem tática cirúrgica** e imediata.
1.  **"Multiplicadores de Valor" no Ponto de Venda:** Foco extremo em otimizar cada atendimento. Reforçar o treinamento de "sugestão inteligente" para itens complementares de maior margem ou combos de valor. Cada vendedor deve ter um alvo claro de *elevação* do ticket médio por cliente, transformando cada R$ 36,14 em R$ 45-R$ 50 através de ofertas irresistíveis no checkout.
2.  **"Flash Sales" de Alta Conversão:** Para injeção rápida de vendas, podemos ativar micro-campanhas diárias. Uma "Oferta Relâmpago" de 2-3 horas por dia em produtos específicos (com estoque para rápida movimentação) comunicada via WhatsApp/redes sociais para gerar picos de tráfego e conversão instantânea. A escassez e urgência serão motores.
Não é apenas sobre volume, mas sobre maximizar o valor de cada interação. A diretriz é clara: "desbloquear" o potencial de cada venda nos próximos 7 dias com velocidade e precisão.
📆 Projeção de fechamento: R$ 285.372,60
🗓️ Dias restantes: 7</t>
  </si>
  <si>
    <t>Atualização Comercial – ABRIL 2026
🔍 *RESUMO*
✔️ Realizado: R$ 209.273,24
📅 Média/dia: R$ 9.512,42
🎫 Ticket médio: R$ 36,14
👥 Atend./dia: 266
🎯 *METAS (vs. OURO)*
Desempenho: 67.41%
Faltam: R$ 101.176,26
(Bronze: R$ 301.825,90 | Prata: R$ 306.137,70 | Ouro: R$ 310.449,50)
📉 *COMPARAÇÕES*
◀️ Média necessária p/ Ouro: R$ 16.862,71
(vs. atual: R$ 9.512,42)
◀️ Abril/2025: R$ 287.453,24
📈 Variação anual (prev.): -0.72%
💡 *INSIGHT ESTRATÉGICO*
Estamos em uma contagem regressiva crítica, com a projeção de fechamento sinalizando que não atingiremos nem a Meta Bronze e ficaremos ligeiramente abaixo do ano anterior. Para os últimos 6 dias, a média diária necessária para o Ouro é quase o dobro da atual, demandando uma aceleração sem precedentes. Nosso desafio é fazer cada atendimento valer ouro. Recomendo uma "estratégia de alavancagem" focada em: 1) **Otimização Extrema do Ticket Médio:** Implementar ofertas-relâmpago de "Leve 3, Pague 2" ou "Compre X, Ganhe Y" em produtos de alto giro, incentivando a compra de múltiplos itens por cliente. 2) **Upselling Focado:** Treinamento intensivo e rápido para a equipe de vendas focar em *upsell* de produtos premium ou serviços adicionais, aumentando o valor percebido e o gasto por cliente. 3) **Reativação Inteligente:** Disparar SMS/WhatsApp marketing com ofertas hiper-segmentadas para clientes que não compram há 30-60 dias, visando trazer tráfego qualificado e de alto potencial de conversão imediata. Precisamos maximizar cada interação.
📆 Projeção de fechamento: R$ 285.372,60
🗓️ Dias restantes: 6</t>
  </si>
  <si>
    <t>Atualização Comercial – ABRIL 2026
🔍 *RESUMO*
✔️ Realizado: R$ 216.105,89
📅 Média/dia: R$ 9.395,91
🎫 Ticket médio: R$ 35,98
👥 Atend./dia: 264
🎯 *METAS (vs. OURO)*
Desempenho: 69.61%
Faltam: R$ 94.343,61
(Bronze: R$ 301.825,90 | Prata: R$ 306.137,70 | Ouro: R$ 310.449,50)
📉 *COMPARAÇÕES*
◀️ Média necessária p/ Ouro: R$ 15.723,94
(vs. atual: R$ 9.395,91)
◀️ Abril/2025: R$ 287.453,24
📈 Variação anual (prev.): -1.94%
💡 *INSIGHT ESTRATÉGICO*
O cenário para a Meta Ouro nos próximos 6 dias exige uma recalibragem imediata: precisamos quase dobrar nossa média diária de vendas (R$ 15.723,94 vs. R$ 9.395,91 atuais). A projeção atual, infelizmente, aponta para um fechamento abaixo do ano anterior. O grande trunfo é o volume consistente de atendimentos (264/dia). Nossa missão é transformar essa base em *valor ampliado*. A recomendação é ativar um *foco cirúrgico na elevação do ticket médio*. Não basta apenas vender; é preciso *maximizar o valor de cada carrinho*. Proponho que a equipe de vendas seja orientada a focar nas 'oportunidades de segundo item' ou 'soluções complementares', com metas diárias para a inclusão de produtos de maior margem em cada compra, ou o alcance de um valor mínimo por transação. Precisamos sair da zona de conforto do ticket de R$ 35,98 e infundir na equipe a mentalidade de que cada atendimento é uma chance de construir um 'cesto de valor' superior, transformando o final de abril em um exercício de extração inteligente de receita.
📆 Projeção de fechamento: R$ 281.877,25
🗓️ Dias restantes: 6</t>
  </si>
  <si>
    <t>Atualização Comercial – ABRIL 2026
🔍 *RESUMO*
✔️ Realizado: R$ 224.767,70
📅 Média/dia: R$ 9.365,32
🎫 Ticket médio: R$ 36,00
👥 Atend./dia: 263
🎯 *METAS (vs. OURO)*
Desempenho: 72.40%
Faltam: R$ 85.681,80
(Bronze: R$ 301.825,90 | Prata: R$ 306.137,70 | Ouro: R$ 310.449,50)
📉 *COMPARAÇÕES*
◀️ Média necessária p/ Ouro: R$ 17.136,36
(vs. atual: R$ 9.365,32)
◀️ Abril/2025: R$ 287.453,24
📈 Variação anual (prev.): -2.26%
💡 *INSIGHT ESTRATÉGICO*
Estamos na reta final de Abril, com apenas 5 dias restantes, e os números indicam uma necessidade urgente de uma virada estratégica. A média diária necessária para atingir a meta Ouro é quase o dobro da nossa performance atual, e a projeção nos coloca abaixo do resultado do ano passado. Não podemos apenas "manter o ritmo"; precisamos de um *impulso de alta octanagem*.
Minhas recomendações para um sprint final decisivo:
1.  **Disparo no Ticket Médio:** O ticket de R$ 36,00 é um ponto de alavancagem. Implementar *ofertas "leves 2, pague 1 e meio"* ou *packs promocionais com produtos complementares* para aumentar o valor da cesta por cliente. Foco em SKUs de maior margem.
2.  **Blitz de Conversão e Upsell:** Reforçar a equipe de vendas com um *desafio de conversão diário*, premiando as maiores taxas de upsell e cross-sell. Cada atendimento precisa ser uma oportunidade otimizada de receita.
3.  **Ativação Relâmpago:** Considerar uma *campanha digital de última hora*, com ofertas exclusivas e de tempo limitado (ex: "48h de ofertas imperdíveis") para gerar tráfego qualificado e compras por impulso nos dias finais.
É o momento de concentrar esforços e energia para garantir que cada transação contribua exponencialmente para fecharmos Abril no azul, superando a projeção negativa.
📆 Projeção de fechamento: R$ 280.959,62
🗓️ Dias restantes: 5</t>
  </si>
  <si>
    <t>Atualização Comercial – ABRIL 2026
🔍 *RESUMO*
✔️ Realizado: R$ 239.233,62
📅 Média/dia: R$ 9.569,34
🎫 Ticket médio: R$ 36,06
👥 Atend./dia: 268
🎯 *METAS (vs. OURO)*
Desempenho: 77.06%
Faltam: R$ 71.215,88
(Bronze: R$ 301.825,90 | Prata: R$ 306.137,70 | Ouro: R$ 310.449,50)
📉 *COMPARAÇÕES*
◀️ Média necessária p/ Ouro: R$ 17.803,97
(vs. atual: R$ 9.569,34)
◀️ Abril/2025: R$ 287.453,24
📈 Variação anual (prev.): -0.13%
💡 *INSIGHT ESTRATÉGICO*
Estamos nos 45 do segundo tempo em Abril, Diretoria. Com apenas 4 dias restantes, a média diária necessária para a Meta Ouro (R$ 17.803,97) quase dobra nossa performance atual, e a projeção de fechamento aponta para abaixo da Meta Bronze. Precisamos de um "sprint" tático e cirúrgico para reverter o cenário:
1.  **Micro-Campanhas de Ponto de Venda:** Foco em ofertas 'relâmpago' com validade de poucas horas/dias em produtos de maior margem ou alto giro, comunicadas diretamente no PDV para decisão imediata do cliente.
2.  **Meta de Ticket Médio Agressiva:** Briefing urgente com as equipes para elevar o ticket médio atual de R$36,06. O objetivo deve ser cruzar a barreira dos R$50-R$60 através de combos irresistíveis e upsell/cross-sell obrigatório.
3.  **Engajamento por Reconhecimento:** Implementar um desafio diário com "bônus instantâneo" (p. ex., voucher ou reconhecimento visível) para a loja ou colaborador que atingir a maior performance em ticket médio ou número de vendas de kits estratégicos.
Nosso objetivo nestes últimos dias deve ser lutar para, no mínimo, alcançar a Meta Bronze e, idealmente, superar o desempenho do ano anterior, mudando a trajetória de nossa projeção.
📆 Projeção de fechamento: R$ 287.080,34
🗓️ Dias restantes: 4</t>
  </si>
  <si>
    <t>Atualização Comercial – ABRIL 2026
🔍 *RESUMO*
✔️ Realizado: R$ 249.374,47
📅 Média/dia: R$ 9.591,33
🎫 Ticket médio: R$ 36,18
👥 Atend./dia: 268
🎯 *METAS (vs. OURO)*
Desempenho: 80.33%
Faltam: R$ 61.075,03
(Bronze: R$ 301.825,90 | Prata: R$ 306.137,70 | Ouro: R$ 310.449,50)
📉 *COMPARAÇÕES*
◀️ Média necessária p/ Ouro: R$ 20.358,34
(vs. atual: R$ 9.591,33)
◀️ Abril/2025: R$ 287.453,24
📈 Variação anual (prev.): +0.10%
💡 *INSIGHT ESTRATÉGICO*
Com apenas 3 dias restantes, estamos em um momento de "virada de jogo" para o fechamento de abril. A média diária necessária para atingir a Meta Ouro é mais que o dobro do nosso desempenho atual, e a projeção de fechamento sequer alcança a Meta Bronze. Temos um bom volume de atendimentos diários, mas o ticket médio de R$ 36,18 revela que estamos capturando menos valor por cliente do que o necessário.
É crucial uma **'operação relâmpago' focada em valor, não apenas em volume**. Sugiro uma blitz de ofertas de *up-selling e cross-selling* nos próximos 72h, com pacotes ou combos de produtos irresistíveis que aumentem o valor percebido e o ticket final. Por exemplo, "Leve o segundo item com 50% de desconto" ou "Combo Premium X por um preço especial", ativando o senso de oportunidade e urgência. A meta é maximizar cada transação, transformando cada atendimento em um "ponto extra" para o resultado final, desviando da projeção atual que nos iguala ao ano passado.
📆 Projeção de fechamento: R$ 287.739,77
🗓️ Dias restantes: 3</t>
  </si>
  <si>
    <t>Atualização Comercial – ABRIL 2026
🔍 *RESUMO*
✔️ Realizado: R$ 257.180,14
📅 Média/dia: R$ 9.525,19
🎫 Ticket médio: R$ 36,12
👥 Atend./dia: 267
🎯 *METAS (vs. OURO)*
Desempenho: 82.84%
Faltam: R$ 53.269,36
(Bronze: R$ 301.825,90 | Prata: R$ 306.137,70 | Ouro: R$ 310.449,50)
📉 *COMPARAÇÕES*
◀️ Média necessária p/ Ouro: R$ 26.634,68
(vs. atual: R$ 9.525,19)
◀️ Abril/2025: R$ 287.453,24
📈 Variação anual (prev.): -0.59%
💡 *INSIGHT ESTRATÉGICO*
A reta final de abril nos apresenta um desafio hercúleo para Meta Ouro, exigindo um salto diário quase triplo sobre nossa média atual. Com apenas 2 dias restantes, a prioridade estratégica muda: não podemos perder a referência do ano anterior. Nosso foco agora é uma *operação de resgate* para, no mínimo, ultrapassar os R$ 287.453,24 de Abril/2025 e, com um empurrão extra, buscar o Bronze (R$ 301.825,90). Isso significa uma urgência cirúrgica para elevar nosso ticket médio – campanhas de 'leve mais por menos' ou 'upgrade instantâneo' podem ser acionadas imediatamente para impulsionar o valor de cada atendimento. Que cada venda conte para reverter a projeção de fechamento negativo versus o ano passado. A corrida é contra o relógio para manter o ritmo histórico!
📆 Projeção de fechamento: R$ 285.755,71
🗓️ Dias restantes: 2</t>
  </si>
  <si>
    <t>Atualização Comercial – ABRIL 2026
🔍 *RESUMO*
✔️ Realizado: R$ 265.450,17
📅 Média/dia: R$ 9.480,36
🎫 Ticket médio: R$ 36,16
👥 Atend./dia: 265
🎯 *METAS (vs. OURO)*
Desempenho: 85.51%
Faltam: R$ 44.999,33
(Bronze: R$ 301.825,90 | Prata: R$ 306.137,70 | Ouro: R$ 310.449,50)
📉 *COMPARAÇÕES*
◀️ Média necessária p/ Ouro: R$ 44.999,33
(vs. atual: R$ 9.480,36)
◀️ Abril/2025: R$ 287.453,24
📈 Variação anual (prev.): -1.06%
💡 *INSIGHT ESTRATÉGICO*
Chegamos ao *último suspiro* de abril e o desafio é gigantesco: para sequer vislumbrar a Meta Bronze, precisaríamos quebrar nosso recorde diário por quase 5x. A projeção, inclusive, nos coloca 1.06% abaixo do ano anterior, um sinal de alerta sobre a necessidade de um balanço para o próximo mês.
Para este *sprint final*, a tática deve ser de máxima intensidade e foco na maximização do valor:
1.  **Foco em Valor Agregado:** Implementar uma 'campanha relâmpago' de combos irresistíveis ou ofertas "leve mais pague menos" que elevem o ticket médio e o volume de transações por cliente, mesmo que com margem ligeiramente ajustada.
2.  **Reativação Cirúrgica:** Acionar a base de clientes mais engajados ou de alto valor (VIPs) com ofertas exclusivas via WhatsApp/SMS, incentivando uma última compra impulsiva.
3.  **Incentivo Imediato à Equipe:** Criar um desafio de desempenho com bônus rápidos para o dia de amanhã, focando em unidades vendidas ou no valor total de vendas, para extrair o máximo da equipe neste fechamento.
A Meta Ouro, ou mesmo Prata/Bronze, mostra-se desafiadora para ser alcançada com a performance atual. Contudo, cada real vendido amanhã é um tijolo para construir um momentum mais forte e valioso para maio, além de fornecer dados cruciais para análise pós-mês.
📆 Projeção de fechamento: R$ 284.410,90
🗓️ Dias restantes: 1</t>
  </si>
  <si>
    <t>Atualização Comercial – ABRIL 2026
🔍 *RESUMO*
✔️ Realizado: R$ 272.966,15
📅 Média/dia: R$ 9.412,63
🎫 Ticket médio: R$ 36,08
👥 Atend./dia: 264
🎯 *METAS (vs. OURO)*
Desempenho: 87.93%
Faltam: R$ 37.483,35
(Bronze: R$ 301.825,90 | Prata: R$ 306.137,70 | Ouro: R$ 310.449,50)
📉 *COMPARAÇÕES*
◀️ Média necessária p/ Ouro: R$ 0,00
(vs. atual: R$ 9.412,63)
◀️ Abril/2025: R$ 287.453,24
📈 Variação anual (prev.): -1.77%
💡 *INSIGHT ESTRATÉGICO*
Abril/2026 está oficialmente encerrado e, infelizmente, o placar final mostra que ficamos aquém de todas as metas, com R$ 272.966,15. Além de não atingir nem a Meta Bronze, o dado mais crítico é a queda real de -5.04% em relação a Abril de 2025 – um declínio significativamente mais acentuado do que o -1.77% da nossa projeção. Essa diferença de quase R$ 10 mil entre o que foi projetado para fechamento e o que realmente entregamos aponta para uma perda de tração na reta final ou otimismo excessivo na previsão.
É essencial não apenas entender *o que* aconteceu, mas *por que*. Proponho um "raio-x" imediato para desvendar as causas dessa performance e do desvio da projeção, focando em:
1.  **Engajamento de Equipe:** Avaliar o último esforço e a motivação do time.
2.  **Eficácia das Ações:** O que realmente funcionou (ou falhou) nas campanhas promocionais e operacionais de Abril.
3.  **Jornada do Cliente:** Onde perdemos o cliente (tráfego? conversão? mix de produtos no ticket médio?).
Para Maio, a meta é clara: um "reset" estratégico para reverter essa tendência. Sugiro iniciarmos com um 'kick-off' focado em micro-metas diárias ambiciosas e um plano de incentivos robusto que reative a equipe desde o primeiro dia, usando as lições de Abril como combustível para uma recuperação vigorosa.
📆 Projeção de fechamento: R$ 282.378,78
🗓️ Dias restantes: 0</t>
  </si>
  <si>
    <t>Atualização Comercial – ABRIL 2026
🔍 *RESUMO*
✔️ Realizado: R$ 282.415,89
📅 Média/dia: R$ 9.413,86
🎫 Ticket médio: R$ 36,01
👥 Atend./dia: 264
🎯 *METAS (vs. OURO)*
Desempenho: 90.97%
Faltam: R$ 28.033,61
(Bronze: R$ 301.825,90 | Prata: R$ 306.137,70 | Ouro: R$ 310.449,50)
📉 *COMPARAÇÕES*
◀️ Média necessária p/ Ouro: R$ 966,68
(vs. atual: R$ 9.413,86)
◀️ Abril/2025: R$ 287.453,24
📈 Variação anual (prev.): -1.75%
💡 *INSIGHT ESTRATÉGICO*
Diretoria, o mês de ABRIL começou com uma performance explosiva! Já alcançamos impressionantes 90.97% da Meta Ouro, e o mais notável é que temos 29 dias pela frente para finalizar o mês. Nossa média diária atual (R$ 9.413,86) está quase **dez vezes** acima do valor necessário para garantir o Ouro (R$ 966,68). Isso nos coloca em uma posição de enorme vantagem para não apenas atingir, mas *superar* significativamente nossas metas.
A projeção de fechamento atual de R$ 282.415,89 não reflete o verdadeiro potencial do nosso ritmo. Se mantivermos essa excelente média de venda diária, a projeção real de fechamento será substancialmente maior, garantindo que **abriremos uma distância histórica em relação ao ano anterior e consolidaremos um novo patamar de performance.**
**Recomendação:**
1.  **Otimização do Ticket Médio:** Com uma alta média de atendimentos (264/dia), temos um espaço valioso para intensificar as ações de *upselling* e *cross-selling* nas categorias de maior margem, maximizando o valor de cada transação.
2.  **Campanha de Quebra de Recorde:** Lançar uma campanha de incentivo interna para as equipes, focada em bater o **recorde histórico de vendas de abril**, utilizando o excelente início como um trampolim para um mês verdadeiramente lendário.
📆 Projeção de fechamento: R$ 282.415,89
🗓️ Dias restantes: 29</t>
  </si>
  <si>
    <t>Atualização Comercial – MAIO 2026
🔍 *RESUMO*
✔️ Realizado: R$ 10.278,93
📅 Média/dia: R$ 10.278,93
🎫 Ticket médio: R$ 29,88
👥 Atend./dia: 348
🎯 *METAS (vs. OURO)*
Desempenho: 2.90%
Faltam: R$ 344.248,12
(Bronze: R$ 344.679,08 | Prata: R$ 349.603,07 | Ouro: R$ 354.527,05)
📉 *COMPARAÇÕES*
◀️ Média necessária p/ Ouro: R$ 11.870,62
(vs. atual: R$ 10.278,93)
◀️ Maio/2025: R$ 328.265,79
📈 Variação anual (prev.): -2.93%
💡 *INSIGHT ESTRATÉGICO*
O primeiro dia de maio estabeleceu um ritmo que nos coloca em alerta: a média de vendas de hoje já está R$ 1.591,69 abaixo do necessário para a Meta Ouro. Mais preocupante, a projeção atual aponta para um mês 2.93% abaixo de maio do ano passado. Para reverter essa curva desde o início, é crucial focar na *qualidade da venda* agora. Sugiro que a equipe comercial priorize estratégias de aumento do Ticket Médio, seja através de combos especiais para os primeiros clientes do mês ou incentivando o cross-selling/up-selling em cada atendimento. Precisamos sair da "pista de decolagem" com mais força para evitar um déficit cumulativo.
📆 Projeção de fechamento: R$ 318.646,83
🗓️ Dias restantes: 29</t>
  </si>
  <si>
    <t>Atualização Comercial – MAIO 2026
🔍 *RESUMO*
✔️ Realizado: R$ 20.905,93
📅 Média/dia: R$ 10.452,97
🎫 Ticket médio: R$ 30,97
👥 Atend./dia: 341
🎯 *METAS (vs. OURO)*
Desempenho: 5.90%
Faltam: R$ 333.621,12
(Bronze: R$ 344.679,08 | Prata: R$ 349.603,07 | Ouro: R$ 354.527,05)
📉 *COMPARAÇÕES*
◀️ Média necessária p/ Ouro: R$ 11.915,04
(vs. atual: R$ 10.452,97)
◀️ Maio/2025: R$ 328.265,79
📈 Variação anual (prev.): -1.29%
💡 *INSIGHT ESTRATÉGICO*
Apesar de um início de mês, nossa projeção atual aponta para um fechamento abaixo da Meta Bronze e do resultado do ano passado. A "pista de decolagem" está montada com 341 atendimentos/dia, mas o "empuxo" do ticket médio (R$ 30,97) e da média diária (R$ 10.452,97) precisa ser acelerado para atingir os R$ 11.915,04 necessários para Ouro.
A recomendação é *converter alto tráfego em valor superior* desde já. Proponho:
1.  **Foco em "Cesta Turbinada":** Treinar a equipe para ofertas de *cross-selling e up-selling compulsórias*, elevando o ticket médio em 15-20% já nos próximos 5 dias.
2.  **Campanha de Volume com Bônus:** Criar um incentivo agressivo para clientes que ultrapassem um determinado valor no carrinho, ativando compras maiores e mais rápidas.
3.  **Análise Rápida de Mix de Produtos:** Avaliar os produtos mais vendidos e seus complementos para garantir que estejam em destaque e com comunicação clara para sugestão de compra conjunta.
📆 Projeção de fechamento: R$ 324.041,91
🗓️ Dias restantes: 28</t>
  </si>
  <si>
    <t>Atualização Comercial – MAIO 2026
🔍 *RESUMO*
✔️ Realizado: R$ 31.032,20
📅 Média/dia: R$ 10.344,07
🎫 Ticket médio: R$ 33,66
👥 Atend./dia: 310
🎯 *METAS (vs. OURO)*
Desempenho: 8.75%
Faltam: R$ 323.494,85
(Bronze: R$ 344.679,08 | Prata: R$ 349.603,07 | Ouro: R$ 354.527,05)
📉 *COMPARAÇÕES*
◀️ Média necessária p/ Ouro: R$ 11.981,29
(vs. atual: R$ 10.344,07)
◀️ Maio/2025: R$ 328.265,79
📈 Variação anual (prev.): -2.32%
💡 *INSIGHT ESTRATÉGICO*
Estamos apenas no início de Maio, mas os dados já acendem um alerta claro: nossa média diária atual está R$ 1.637,22 abaixo do ritmo necessário para buscar a Meta Ouro. Mais crítico ainda, a projeção atual coloca o mês 2.32% abaixo do desempenho de Maio/2025. Precisamos acelerar o passo *agora* para evitar que essa tendência se consolide. Minha recomendação é uma imersão imediata na estratégia de *elevação do Ticket Médio*. Podemos implementar desafios diários para a equipe com foco em vendas complementares e combos inteligentes, visando adicionar R$ 5-10 ao ticket médio atual. Com 310 atendimentos diários, um pequeno incremento aqui se traduz rapidamente em milhares, fechando a lacuna diária e impulsionando o resultado acima da projeção do ano anterior.
📆 Projeção de fechamento: R$ 320.666,07
🗓️ Dias restantes: 27</t>
  </si>
  <si>
    <t>Atualização Comercial – MAIO 2026
🔍 *RESUMO*
✔️ Realizado: R$ 39.715,38
📅 Média/dia: R$ 9.928,85
🎫 Ticket médio: R$ 33,49
👥 Atend./dia: 300
🎯 *METAS (vs. OURO)*
Desempenho: 11.20%
Faltam: R$ 314.811,67
(Bronze: R$ 344.679,08 | Prata: R$ 349.603,07 | Ouro: R$ 354.527,05)
📉 *COMPARAÇÕES*
◀️ Média necessária p/ Ouro: R$ 12.108,14
(vs. atual: R$ 9.928,85)
◀️ Maio/2025: R$ 328.265,79
📈 Variação anual (prev.): -6.24%
💡 *INSIGHT ESTRATÉGICO*
Maio começou, e estamos definindo a trajetória do mês. Embora seja o início, a projeção de fechamento atual nos coloca abaixo de todas as metas e, preocupantemente, 6.24% abaixo do ano anterior. A diferença entre nossa média diária atual (R$ 9.928,85) e a necessária para a Meta Ouro (R$ 12.108,14) é de quase 22%. Isso significa que, com o volume de 300 atendimentos/dia, precisamos elevar nosso ticket médio significativamente. A sugestão é implementar um "Desafio de Ticket" para a equipe de vendas, com foco em treinamento intensivo de cross-selling/upselling e combos de valor agregado que incentivem o cliente a levar mais. Precisamos recalibrar nossa rota agora para não acumular atraso, transformando cada atendimento em uma oportunidade maior de venda.
📆 Projeção de fechamento: R$ 307.794,20
🗓️ Dias restantes: 26</t>
  </si>
  <si>
    <t>Atualização Comercial – MAIO 2026
🔍 *RESUMO*
✔️ Realizado: R$ 49.536,50
📅 Média/dia: R$ 9.907,30
🎫 Ticket médio: R$ 34,31
👥 Atend./dia: 292
🎯 *METAS (vs. OURO)*
Desempenho: 13.97%
Faltam: R$ 304.990,55
(Bronze: R$ 344.679,08 | Prata: R$ 349.603,07 | Ouro: R$ 354.527,05)
📉 *COMPARAÇÕES*
◀️ Média necessária p/ Ouro: R$ 12.199,62
(vs. atual: R$ 9.907,30)
◀️ Maio/2025: R$ 328.265,79
📈 Variação anual (prev.): -6.44%
💡 *INSIGHT ESTRATÉGICO*
Nosso início de maio aponta um desafio claro: a projeção nos coloca 6.44% abaixo do ano anterior e consideravelmente distante da Meta Ouro. A média diária atual (R$ 9.907,30) está R$ 2.292,32 aquém do necessário para atingir o ouro. Com 292 atendimentos/dia, a oportunidade não está necessariamente em aumentar o volume de clientes, mas sim em *maximizar o valor de cada interação*. É hora de acionar um **"modo turbo" na conversão e no ticket médio**. Recomendo: 1) Intensificar o **treinamento da equipe em up-selling e cross-selling**, com metas claras para "construir o carrinho" do cliente com itens de maior valor agregado; 2) Lançar uma **promoção "alavanca" de alto impacto** nos próximos dias, focada em produtos-chave com boa margem ou agrupamentos de valor, para injetar faturamento e reverter proativamente essa tendência de queda.
📆 Projeção de fechamento: R$ 307.126,30
🗓️ Dias restantes: 25</t>
  </si>
  <si>
    <t>Atualização Comercial – MAIO 2026
🔍 *RESUMO*
✔️ Realizado: R$ 59.240,54
📅 Média/dia: R$ 9.873,42
🎫 Ticket médio: R$ 35,05
👥 Atend./dia: 284
🎯 *METAS (vs. OURO)*
Desempenho: 16.71%
Faltam: R$ 295.286,51
(Bronze: R$ 344.679,08 | Prata: R$ 349.603,07 | Ouro: R$ 354.527,05)
📉 *COMPARAÇÕES*
◀️ Média necessária p/ Ouro: R$ 12.303,60
(vs. atual: R$ 9.873,42)
◀️ Maio/2025: R$ 328.265,79
📈 Variação anual (prev.): -6.76%
💡 *INSIGHT ESTRATÉGICO*
Estamos navegando um início de mês desafiador. Apesar do bom volume de atendimentos (284/dia), nossa média diária de R$ 9.873,42 está consideravelmente abaixo do 'ritmo ouro' de R$ 12.303,60, criando uma lacuna de quase R$ 2.400 por dia. Mais preocupante, a projeção atual nos coloca 6.76% abaixo do desempenho de maio do ano passado.
Para 'recalibrar o velocímetro' e mudar a rota, as ações devem ser cirúrgicas:
1.  **Maximize o Ticket Médio (R$ 35,05):** Este é o nosso 'ponto de pressão'. Implementar táticas de *upselling* e *cross-selling* compulsórias para cada venda. Pense em *combos inteligentes* ou 'leve o produto X com Y e economize Z' para elevar o valor da cesta.
2.  **Ativação de Impacto Imediato:** Planejar uma 'onda de choque' de vendas focada em categorias de alta margem ou com alto valor agregado para o próximo fim de semana. Comunicar isso de forma vibrante para a equipe e clientes para gerar um pico de faturamento e reduzir o gap rapidamente.
3.  **Foco em 'Valor por Cliente':** Com 284 atendimentos, há um vasto potencial. Treinamento relâmpago para a equipe sobre como 'construir o valor' na mente do cliente em cada interação, transformando visita em venda e venda em mais valor.
📆 Projeção de fechamento: R$ 306.076,12
🗓️ Dias restantes: 24</t>
  </si>
  <si>
    <t>Atualização Comercial – MAIO 2026
🔍 *RESUMO*
✔️ Realizado: R$ 66.003,43
📅 Média/dia: R$ 9.429,06
🎫 Ticket médio: R$ 34,16
👥 Atend./dia: 279
🎯 *METAS (vs. OURO)*
Desempenho: 18.62%
Faltam: R$ 288.523,62
(Bronze: R$ 344.679,08 | Prata: R$ 349.603,07 | Ouro: R$ 354.527,05)
📉 *COMPARAÇÕES*
◀️ Média necessária p/ Ouro: R$ 12.544,51
(vs. atual: R$ 9.429,06)
◀️ Maio/2025: R$ 328.265,79
📈 Variação anual (prev.): -10.96%
💡 *INSIGHT ESTRATÉGICO*
Estamos no início de maio e os primeiros indicadores nos colocam em um cenário que demanda uma **recalibragem urgente de rota**. Nossa projeção atual (R$ 292.300,90) está significativamente abaixo não só da Meta Ouro, mas até mesmo da Bronze, e alarmantes 10.96% abaixo do desempenho de maio do ano anterior. O ritmo atual de R$ 9.429,06/dia precisa ser alavancado em ~33% para atingir a Meta Ouro, uma lacuna de R$ 3.115,45 diários.
Para inverter essa trajetória, precisamos de ações focadas e de impacto imediato em duas alavancas críticas:
1.  **Maximização do Ticket Médio:** Com R$ 34,16, há espaço para um aumento de ~31.6% para o TM ideal. Proponho um **"desafio do combo estratégico"** para a equipe, focando na venda de pacotes de produtos complementares ou de maior valor agregado, com incentivos claros. Além disso, uma revisão da precificação de produtos-chave para criar percepção de valor superior pode ser crucial.
2.  **Otimização do Fluxo de Atendimentos:** Precisamos de um salto de ~31.5% nos atendimentos diários. Sugiro a implementação de **"ações relâmpago" com tempo limitado** (ex: 3 horas de desconto especial ou brinde) comunicadas via canais digitais segmentados (WhatsApp/SMS para base de clientes próximos) para gerar picos de fluxo e reativar clientes inativos de forma ágil.
Esta intervenção não pode esperar. Precisamos de uma execução disciplinada e um acompanhamento rigoroso destas iniciativas para reposicionarmos o mês e garantirmos que Maio/26 não fique aquém de 2025.
📆 Projeção de fechamento: R$ 292.300,90
🗓️ Dias restantes: 23</t>
  </si>
  <si>
    <t>Atualização Comercial – MAIO 2026
🔍 *RESUMO*
✔️ Realizado: R$ 77.139,84
📅 Média/dia: R$ 9.642,48
🎫 Ticket médio: R$ 34,92
👥 Atend./dia: 279
🎯 *METAS (vs. OURO)*
Desempenho: 21.76%
Faltam: R$ 277.387,21
(Bronze: R$ 344.679,08 | Prata: R$ 349.603,07 | Ouro: R$ 354.527,05)
📉 *COMPARAÇÕES*
◀️ Média necessária p/ Ouro: R$ 12.608,51
(vs. atual: R$ 9.642,48)
◀️ Maio/2025: R$ 328.265,79
📈 Variação anual (prev.): -8.94%
💡 *INSIGHT ESTRATÉGICO*
O cenário atual nos coloca em um ponto de inflexão: embora tenhamos um fluxo robusto de 279 atendimentos/dia, nossa "máquina de vendas" opera abaixo da potência necessária para as metas. A média diária está R$ 2.966,03 aquém do Ouro, e a projeção indica um recuo de quase 9% em relação ao ano anterior. Isso sugere que não é um problema de volume de tráfego, mas de **otimização da conversão e valor da cesta**. O Ticket Médio de R$ 34,92 é nossa principal alavanca. Sugiro uma imersão imediata em **"engenharia de cesta"**: lançar desafios de equipe com foco em elevação do TM via venda de produtos complementares e *bundles* de maior valor agregado, e um treinamento relâmpago de *suggestive selling* focado em "soluções completas" ao invés de itens avulsos. Oportunidades não faltam; precisamos maximizar o valor de cada interação que já acontece.
📆 Projeção de fechamento: R$ 298.916,88
🗓️ Dias restantes: 22</t>
  </si>
  <si>
    <t>Atualização Comercial – MAIO 2026
🔍 *RESUMO*
✔️ Realizado: R$ 95.317,14
📅 Média/dia: R$ 10.590,79
🎫 Ticket médio: R$ 36,10
👥 Atend./dia: 296
🎯 *METAS (vs. OURO)*
Desempenho: 26.89%
Faltam: R$ 259.209,91
(Bronze: R$ 344.679,08 | Prata: R$ 349.603,07 | Ouro: R$ 354.527,05)
📉 *COMPARAÇÕES*
◀️ Média necessária p/ Ouro: R$ 12.343,33
(vs. atual: R$ 10.590,79)
◀️ Maio/2025: R$ 328.265,79
📈 Variação anual (prev.): +0.01%
💡 *INSIGHT ESTRATÉGICO*
Nosso volume de atendimentos diários (296) é uma base sólida e mostra um excelente tráfego. No entanto, o ticket médio de R$ 36,10 é um **elo fraco na nossa corrente de valor**. A projeção de crescimento de míseros +0.01% em relação ao ano anterior acende um alerta: estamos perdendo o trem do crescimento real do mercado.
Para não apenas fechar a lacuna até a Meta Ouro, mas sim *construir* um avanço significativo, precisamos **transformar cada interação em uma oportunidade de valor agregado**. Sugiro uma blitz focada em **potencializar a "cesta de compras"**. Que tal um programa de incentivo agressivo para a equipe em combos pré-definidos ou upsells de produtos complementares? É hora de fazer com que a robustez do nosso atendimento se reflita diretamente no nosso faturamento, elevando a média diária para os R$ 12.343,33 necessários.
📆 Projeção de fechamento: R$ 328.314,59
🗓️ Dias restantes: 21</t>
  </si>
  <si>
    <t>Atualização Comercial – MAIO 2026
🔍 *RESUMO*
✔️ Realizado: R$ 118.257,58
📅 Média/dia: R$ 11.825,76
🎫 Ticket médio: R$ 38,52
👥 Atend./dia: 310
🎯 *METAS (vs. OURO)*
Desempenho: 33.36%
Faltam: R$ 236.269,47
(Bronze: R$ 344.679,08 | Prata: R$ 349.603,07 | Ouro: R$ 354.527,05)
📉 *COMPARAÇÕES*
◀️ Média necessária p/ Ouro: R$ 11.813,47
(vs. atual: R$ 11.825,76)
◀️ Maio/2025: R$ 328.265,79
📈 Variação anual (prev.): +11.68%
💡 *INSIGHT ESTRATÉGICO*
Excelente posicionamento neste início de mês! Estamos operando com uma margem confortável para a Meta Ouro, com a média diária atual superando a necessária e uma projeção que nos coloca bem acima dela (+11.68% vs. ano anterior). Este é o momento de não só manter o ritmo, mas de otimizá-lo.
Nossa prioridade deve ser consolidar essa performance e ir além: proponho uma análise ágil dos *principais drivers* que estão impulsionando o volume e o ticket médio neste período. Quais produtos ou abordagens estão se destacando? Identificar esses pontos fortes permitirá replicar o sucesso, escalar as vendas nos 20 dias restantes e transformar a Meta Ouro em um novo piso para um desempenho ainda mais extraordinário.
📆 Projeção de fechamento: R$ 366.598,50
🗓️ Dias restantes: 20</t>
  </si>
  <si>
    <t>Atualização Comercial – MAIO 2026
🔍 *RESUMO*
✔️ Realizado: R$ 126.501,64
📅 Média/dia: R$ 11.500,15
🎫 Ticket médio: R$ 38,26
👥 Atend./dia: 303
🎯 *METAS (vs. OURO)*
Desempenho: 35.68%
Faltam: R$ 228.025,41
(Bronze: R$ 344.679,08 | Prata: R$ 349.603,07 | Ouro: R$ 354.527,05)
📉 *COMPARAÇÕES*
◀️ Média necessária p/ Ouro: R$ 12.001,34
(vs. atual: R$ 11.500,15)
◀️ Maio/2025: R$ 328.265,79
📈 Variação anual (prev.): +8.60%
💡 *INSIGHT ESTRATÉGICO*
Excelente início de mês, Diretoria! A projeção atual *já nos posiciona acima da Meta Ouro* para Maio, um crescimento robusto de +8.60% vs. ano anterior. É um ótimo sinal de momentum. Para não apenas atingir, mas *solidificar e até superar* essa projeção, e dado que a média diária necessária para o Ouro está ligeiramente acima da nossa atual, a prioridade nos próximos 19 dias deve ser a *elevação do ticket médio*. Vamos focar em estratégias de *cross-selling e up-selling* ativas no ponto de venda, talvez com incentivos de equipe para pacotes de produtos ou ofertas de maior valor agregado. Cada atendimento é uma chance de potencializar o resultado e garantir um fechamento de mês espetacular!
📆 Projeção de fechamento: R$ 356.504,62
🗓️ Dias restantes: 19</t>
  </si>
  <si>
    <t>Atualização Comercial – MAIO 2026
🔍 *RESUMO*
✔️ Realizado: R$ 133.484,27
📅 Média/dia: R$ 11.123,69
🎫 Ticket médio: R$ 37,82
👥 Atend./dia: 296
🎯 *METAS (vs. OURO)*
Desempenho: 37.65%
Faltam: R$ 221.042,78
(Bronze: R$ 344.679,08 | Prata: R$ 349.603,07 | Ouro: R$ 354.527,05)
📉 *COMPARAÇÕES*
◀️ Média necessária p/ Ouro: R$ 12.280,15
(vs. atual: R$ 11.123,69)
◀️ Maio/2025: R$ 328.265,79
📈 Variação anual (prev.): +5.05%
💡 *INSIGHT ESTRATÉGICO*
Estamos na metade do mês e, embora a projeção indique um crescimento saudável de 5.05% versus o ano anterior, nossa trajetória atual nos coloca na "zona de conforto" da Meta Bronze. Para efetivamente *desbloquear* o potencial da Meta Ouro, o desafio é claro: precisamos elevar nossa média diária em R$ 1.156,46 pelos 18 dias restantes.
Este não é um salto impossível, mas exige um *refino estratégico* imediato. Minha recomendação é focar em **alavancar o valor de cada interação**, em vez de depender apenas do aumento de fluxo:
1.  **"Mini-Missão Ticket UP":** Lançar um micro-desafio de 72h para a equipe, com foco em elevar o ticket médio para R$ 41,75 (um incremento de apenas R$ 3,93 por venda). Isso pode ser alcançado através de um "combo do dia" específico ou sugestão inteligente de produtos complementares de maior margem, impactando diretamente o valor agregado por cliente.
2.  **Engajamento de Alto Valor:** Realinhar a abordagem dos nossos 296 atendimentos diários para identificar e converter oportunidades de *upsell/cross-sell* de forma mais proativa e personalizada. Não é só atender, é maximizar o potencial de cada cliente que já está na loja ou online.
É hora de calibrar o motor, buscando a eficiência máxima no que já temos, para acelerar rumo ao Ouro.
📆 Projeção de fechamento: R$ 344.834,36
🗓️ Dias restantes: 18</t>
  </si>
  <si>
    <t>Atualização Comercial – MAIO 2026
🔍 *RESUMO*
✔️ Realizado: R$ 141.678,21
📅 Média/dia: R$ 10.898,32
🎫 Ticket médio: R$ 37,85
👥 Atend./dia: 290
🎯 *METAS (vs. OURO)*
Desempenho: 39.96%
Faltam: R$ 212.848,84
(Bronze: R$ 344.679,08 | Prata: R$ 349.603,07 | Ouro: R$ 354.527,05)
📉 *COMPARAÇÕES*
◀️ Média necessária p/ Ouro: R$ 12.520,52
(vs. atual: R$ 10.898,32)
◀️ Maio/2025: R$ 328.265,79
📈 Variação anual (prev.): +2.92%
💡 *INSIGHT ESTRATÉGICO*
A análise do dia sinaliza que, mantendo o ritmo atual, **iremos fechar o mês abaixo de todas as metas** (Bronze, Prata, Ouro), mesmo com um crescimento modesto sobre o ano anterior. Nosso 'termômetro' indica que a média diária necessária para Ouro (R$ 12.520,52) está R$ 1.622,20 acima da nossa média atual (R$ 10.898,32). A projeção de R$ 337.848,04 confirma essa rota de colisão com nossos objetivos.
Com um fluxo constante de 290 atendimentos diários e um Ticket Médio em R$ 37,85, temos uma grande oportunidade de **reverter o cenário pela eficiência, não só pelo volume**. A chave é **elevar nosso Ticket Médio com inteligência**. Sugiro:
1.  **"Desafio do Cesto Cheio":** Capacitar a equipe para técnicas de cross-selling e up-selling, focando em agregar valor à compra principal com produtos complementares de margem atrativa.
2.  **Metas de TM Micro-segmentadas:** Desdobrar metas de Ticket Médio por turno ou por vendedor, com acompanhamento de perto e reconhecimento.
3.  **Promoções de Impulso no PDV:** Criar ofertas de última hora, como "adicione X por Y" ou "upgrade com W% de desconto", para aumentar o valor da transação no momento da finalização.
Temos 17 dias para ajustar a rota. Vamos focar em maximizar o valor de cada cliente que já entra na loja.
📆 Projeção de fechamento: R$ 337.848,04
🗓️ Dias restantes: 17</t>
  </si>
  <si>
    <t>Atualização Comercial – MAIO 2026
🔍 *RESUMO*
✔️ Realizado: R$ 149.832,66
📅 Média/dia: R$ 10.702,33
🎫 Ticket médio: R$ 37,65
👥 Atend./dia: 286
🎯 *METAS (vs. OURO)*
Desempenho: 42.26%
Faltam: R$ 204.694,39
(Bronze: R$ 344.679,08 | Prata: R$ 349.603,07 | Ouro: R$ 354.527,05)
📉 *COMPARAÇÕES*
◀️ Média necessária p/ Ouro: R$ 12.793,40
(vs. atual: R$ 10.702,33)
◀️ Maio/2025: R$ 328.265,79
📈 Variação anual (prev.): +1.07%
💡 *INSIGHT ESTRATÉGICO*
Chegamos à metade do mês com um ritmo estável, mas a projeção nos coloca abaixo de todas as metas, e o *gap diário de R$ 2.091* para atingir o Ouro é nosso maior desafio. Não podemos depender apenas do fluxo; precisamos transformar cada atendimento em uma venda de maior valor. Minha sugestão é lançar um "Desafio de Conversão Premium": capacitar a equipe para focar em estratégias de *upsell e cross-sell agressivas*, oferecendo combos pré-montados ou produtos complementares de margem mais alta. Podemos incentivar isso com um bônus por vendas de kits ou produtos específicos. Temos 16 dias para que cada cliente que entra na loja saia com um carrinho mais cheio, elevando nosso ticket médio e 'pescando peixes maiores' com a mesma rede que já temos.
📆 Projeção de fechamento: R$ 331.772,32
🗓️ Dias restantes: 16</t>
  </si>
  <si>
    <t>Atualização Comercial – MAIO 2026
🔍 *RESUMO*
✔️ Realizado: R$ 159.906,09
📅 Média/dia: R$ 10.660,41
🎫 Ticket médio: R$ 37,69
👥 Atend./dia: 285
🎯 *METAS (vs. OURO)*
Desempenho: 45.10%
Faltam: R$ 194.620,96
(Bronze: R$ 344.679,08 | Prata: R$ 349.603,07 | Ouro: R$ 354.527,05)
📉 *COMPARAÇÕES*
◀️ Média necessária p/ Ouro: R$ 12.974,73
(vs. atual: R$ 10.660,41)
◀️ Maio/2025: R$ 328.265,79
📈 Variação anual (prev.): +0.67%
💡 *INSIGHT ESTRATÉGICO*
A projeção de fechamento de R$ 330k, abaixo de *todas* as metas, apesar da leve alta sobre o ano anterior, nos sinaliza uma rota que precisa de ajuste. A lacuna de R$ 2.3K entre a média diária atual e a necessária para o Ouro é o nosso ponto focal. Com 15 dias restantes e um volume robusto de 285 atendimentos diários, a estratégia não é apenas correr mais, mas **transformar cada interação em uma alavanca de valor**. Sugiro intensificar, de forma cirúrgica, o foco em *upselling* e *cross-selling estratégico* nas próximas duas semanas. Isso pode ser feito através de micro-treinamentos relâmpago focados em combos de alto valor agregado e um "Desafio +1 Item" por atendimento, incentivando a equipe a otimizar a quantidade de itens por venda e, consequentemente, o *ticket médio*. A oportunidade está em refinar a eficiência do fluxo existente para alavancar a receita sem depender de um aumento de fluxo.
📆 Projeção de fechamento: R$ 330.472,59
🗓️ Dias restantes: 15</t>
  </si>
  <si>
    <t>Atualização Comercial – MAIO 2026
🔍 *RESUMO*
✔️ Realizado: R$ 172.707,31
📅 Média/dia: R$ 10.794,21
🎫 Ticket médio: R$ 37,65
👥 Atend./dia: 289
🎯 *METAS (vs. OURO)*
Desempenho: 48.71%
Faltam: R$ 181.819,74
(Bronze: R$ 344.679,08 | Prata: R$ 349.603,07 | Ouro: R$ 354.527,05)
📉 *COMPARAÇÕES*
◀️ Média necessária p/ Ouro: R$ 12.987,12
(vs. atual: R$ 10.794,21)
◀️ Maio/2025: R$ 328.265,79
📈 Variação anual (prev.): +1.94%
💡 *INSIGHT ESTRATÉGICO*
Estamos na metade do mês com quase 49% da Meta Ouro, o que é uma base sólida. No entanto, a projeção atual (R$ 334.620,41) nos coloca abaixo de todas as metas estabelecidas, apesar de um crescimento projetado de 1.94% sobre o ano anterior. O desafio é claro: precisamos elevar significativamente nossa média diária em R$ 2.192,91 para alcançar o Ouro nos 14 dias restantes.
**Recomendações para o sprint final:**
1.  **Aceleração de Tráfego Direcionado:** Lançar uma "blitz" de comunicação via WhatsApp Business ou SMS para clientes que compraram no último mês, oferecendo um *voucher* de desconto nominal para ativar o consumo rápido em produtos específicos de maior margem ou volume.
2.  **Otimização do Carrinho:** Focar intensamente em estratégias de *bundle* e *add-ons* no ponto de venda. Capacitar a equipe para oferecer, de forma consultiva, "pacotes" que aumentem o valor percebido e o ticket médio, como "compre a camisa e leve o acessório com 30% de desconto".
3.  **Gestão do Campo de Batalha:** Criar um painel de acompanhamento visível no PDV, atualizando a cada 2-3 horas o "score" da equipe em relação à média diária necessária (R$ 12.987,12). Isso cria um senso de urgência e competição saudável, transformando o atingimento da meta em um placar vivo para a equipe de vendas.
O sucesso nos próximos 14 dias dependerá de agilidade tática e foco implacável na execução dessas ações para fechar o mês com chave de ouro.
📆 Projeção de fechamento: R$ 334.620,41
🗓️ Dias restantes: 14</t>
  </si>
  <si>
    <t>Atualização Comercial – MAIO 2026
🔍 *RESUMO*
✔️ Realizado: R$ 183.148,90
📅 Média/dia: R$ 10.773,46
🎫 Ticket médio: R$ 37,90
👥 Atend./dia: 287
🎯 *METAS (vs. OURO)*
Desempenho: 51.66%
Faltam: R$ 171.378,15
(Bronze: R$ 344.679,08 | Prata: R$ 349.603,07 | Ouro: R$ 354.527,05)
📉 *COMPARAÇÕES*
◀️ Média necessária p/ Ouro: R$ 13.182,93
(vs. atual: R$ 10.773,46)
◀️ Maio/2025: R$ 328.265,79
📈 Variação anual (prev.): +1.74%
💡 *INSIGHT ESTRATÉGICO*
Estamos na reta final de Maio, com pouco mais da metade da Meta Ouro atingida. No entanto, a projeção atual (R$ 333.977,41) nos alerta para o risco de não alcançarmos nem a Meta Bronze, ficando R$ 10.701,67 abaixo dela. Com uma média diária necessária de R$ 13.182,93 (R$ 2.409,47 acima da atual), precisamos de uma aceleração estratégica nos próximos 13 dias.
Sugiro uma ação "turbo" em duas frentes:
1.  **Otimização do Ticket Médio:** Focar em kits de produtos ou ofertas de "leve mais por menos" que incentivem a compra de itens complementares e de maior valor por cliente.
2.  **Maximização do Atendimento Diário:** Lançar "flash sales" com duração limitada, direcionadas aos clientes mais engajados via CRM e intensificar o apelo nas redes sociais para gerar fluxo imediato nas lojas e online.
É hora de converter a projeção em superação.
📆 Projeção de fechamento: R$ 333.977,41
🗓️ Dias restantes: 13</t>
  </si>
  <si>
    <t>Atualização Comercial – MAIO 2026
🔍 *RESUMO*
✔️ Realizado: R$ 191.670,70
📅 Média/dia: R$ 10.648,37
🎫 Ticket médio: R$ 37,52
👥 Atend./dia: 286
🎯 *METAS (vs. OURO)*
Desempenho: 54.06%
Faltam: R$ 162.856,35
(Bronze: R$ 344.679,08 | Prata: R$ 349.603,07 | Ouro: R$ 354.527,05)
📉 *COMPARAÇÕES*
◀️ Média necessária p/ Ouro: R$ 13.571,36
(vs. atual: R$ 10.648,37)
◀️ Maio/2025: R$ 328.265,79
📈 Variação anual (prev.): +0.56%
💡 *INSIGHT ESTRATÉGICO*
Estamos em um ponto de inflexão crítico: a projeção aponta que fecharemos Maio abaixo de *todas* as metas, inclusive a Bronze (R$ 14.579,54 de gap), apesar de uma ligeira melhora anual. O desafio para a Meta Ouro é ainda maior, exigindo um salto de quase 28% na média diária (de R$ 10.648,37 para R$ 13.571,36). Com 12 dias restantes e uma sólida base de 286 atendimentos diários, nossa maior alavanca não está em aumentar o tráfego, mas em *turbinar o valor de cada interação*. Recomendo uma ofensiva focada em: 1) **Aumento do Ticket Médio:** Treinamento intensivo de up-selling/cross-selling, com ênfase em pacotes e produtos complementares de maior margem. 2) **Otimização da Conversão:** Criar um "sprint final" com metas e bônus diários para a equipe, visando fechar vendas de maior valor e assegurar que cada atendimento se converta em um resultado robusto. É crucial extrair o máximo de cada cliente que entra na loja nestes últimos dias.
📆 Projeção de fechamento: R$ 330.099,54
🗓️ Dias restantes: 12</t>
  </si>
  <si>
    <t>Atualização Comercial – MAIO 2026
🔍 *RESUMO*
✔️ Realizado: R$ 198.939,94
📅 Média/dia: R$ 10.470,52
🎫 Ticket médio: R$ 37,14
👥 Atend./dia: 284
🎯 *METAS (vs. OURO)*
Desempenho: 56.11%
Faltam: R$ 155.587,11
(Bronze: R$ 344.679,08 | Prata: R$ 349.603,07 | Ouro: R$ 354.527,05)
📉 *COMPARAÇÕES*
◀️ Média necessária p/ Ouro: R$ 14.144,28
(vs. atual: R$ 10.470,52)
◀️ Maio/2025: R$ 328.265,79
📈 Variação anual (prev.): -1.12%
💡 *INSIGHT ESTRATÉGICO*
Estamos na reta final do mês, e o mapa de bordo indica que precisamos de uma guinada estratégica. A projeção atual nos deixa abaixo de todas as metas e, mais preocupante, com uma variação negativa em relação ao ano anterior. O gap entre nossa média diária atual (R$ 10.470,52) e o necessário para o Ouro (R$ 14.144,28) é significativo, demandando uma execução impecável nos próximos 11 dias.
Para virar o jogo, sugiro uma ofensiva em duas frentes:
1.  **Elevando o Valor da Cesta:** Foco em *estratégias de "trade-up"* no ponto de venda. Precisamos capacitar a equipe para oferecer produtos de maior margem ou kits de valor agregado superior, transformando o Ticket Médio de R$37,14 em uma alavanca. Cada atendimento deve ser uma oportunidade para o cliente levar "um pouco mais" e com mais valor.
2.  **Caça aos "Tesouros Esquecidos":** Lançar uma micro-campanha de *reengajamento segmentada* para clientes que compraram no ano passado, mas que não realizaram nenhuma transação neste mês de Maio. Uma oferta exclusiva ou pré-venda pode reativar esse fluxo e impactar diretamente a variação anual e o volume total.
A hora é de executar com inteligência e precisão.
📆 Projeção de fechamento: R$ 324.586,22
🗓️ Dias restantes: 11</t>
  </si>
  <si>
    <t>Atualização Comercial – MAIO 2026
🔍 *RESUMO*
✔️ Realizado: R$ 206.240,67
📅 Média/dia: R$ 10.312,03
🎫 Ticket médio: R$ 37,13
👥 Atend./dia: 280
🎯 *METAS (vs. OURO)*
Desempenho: 58.17%
Faltam: R$ 148.286,38
(Bronze: R$ 344.679,08 | Prata: R$ 349.603,07 | Ouro: R$ 354.527,05)
📉 *COMPARAÇÕES*
◀️ Média necessária p/ Ouro: R$ 14.828,64
(vs. atual: R$ 10.312,03)
◀️ Maio/2025: R$ 328.265,79
📈 Variação anual (prev.): -2.62%
💡 *INSIGHT ESTRATÉGICO*
Estamos em um momento decisivo, com 10 dias para recalibrar a rota de Maio. A meta Ouro exige um salto substancial de mais de 40% na nossa média diária de vendas (R$ 14.828,64 vs. R$ 10.312,03 atual). Preocupa também a projeção de fechamento abaixo do ano anterior (-2.62%).
Para virar este jogo, não basta apenas "vender mais"; precisamos *otimizar a venda*. Minha recomendação é focar intensamente na **"Arquitetura do Carrinho"**. Com um ticket médio de R$ 37,13 e 280 atendimentos/dia, temos a oportunidade de escalar o valor de cada interação. Proponho uma campanha tática de *"Upgrade Inteligente"*:
1.  **Foco em Bundles e Cross-sell:** Treinar a equipe para oferecer "kits de solução" ou produtos complementares que naturalmente elevem o ticket médio (ex: "comprou o item X, leve o Y com Z% de desconto" ou kits temáticos).
2.  **Incentivo de Performance Diário:** Criar um desafio de meta diária de ticket médio para a equipe de vendas, com um bônus rápido para quem atingir, por exemplo, R$ 45 ou R$ 50 no TM, incentivando a mentalidade de "valor por atendimento".
3.  **Push em Itens de Maior Margem:** Direcionar o foco para produtos específicos que, além de elevar o ticket, impactem positivamente a margem geral.
Precisamos de uma aceleração estratégica para transformar a projeção atual e, no mínimo, mirar na meta Prata, revertendo a tendência negativa YoY.
📆 Projeção de fechamento: R$ 319.673,04
🗓️ Dias restantes: 10</t>
  </si>
  <si>
    <t>Atualização Comercial – MAIO 2026
🔍 *RESUMO*
✔️ Realizado: R$ 213.310,12
📅 Média/dia: R$ 10.157,62
🎫 Ticket médio: R$ 36,97
👥 Atend./dia: 277
🎯 *METAS (vs. OURO)*
Desempenho: 60.17%
Faltam: R$ 141.216,93
(Bronze: R$ 344.679,08 | Prata: R$ 349.603,07 | Ouro: R$ 354.527,05)
📉 *COMPARAÇÕES*
◀️ Média necessária p/ Ouro: R$ 15.690,77
(vs. atual: R$ 10.157,62)
◀️ Maio/2025: R$ 328.265,79
📈 Variação anual (prev.): -4.08%
💡 *INSIGHT ESTRATÉGICO*
Estamos entrando nos 9 dias finais de Maio com uma projeção desafiadora, indicando que ficaremos aquém de todas as metas e abaixo do desempenho do ano anterior. A lacuna para a Meta Ouro exige um salto expressivo (+55% na média diária atual). Com 277 atendimentos/dia e um ticket médio de R$ 36,97, nosso foco para os dias restantes deve ser uma 'manobra de alta precisão' para extrair mais valor de cada cliente que entra na loja:
1.  **Ataque ao Ticket Médio:** Implementar desafios rápidos de *upselling/cross-selling* com foco em produtos de maior valor agregado ou margem, incentivando a equipe a apresentar o "próximo nível" de compra.
2.  **Vitrine Estratégica:** Realinhar rapidamente a exposição em loja para destacar os itens de maior valor ou combos de produtos em áreas de alto tráfego, facilitando a decisão de compra.
3.  **Incentivo Relâmpago:** Criar um bônus de performance de curto prazo para a equipe, focado em atingir metas diárias de ticket médio ou volume em categorias estratégicas, para mobilizar a linha de frente para essa execução cirúrgica.
Ainda é possível mitigar o déficit, mas exige execução impecável e foco total no valor por transação.
📆 Projeção de fechamento: R$ 314.886,37
🗓️ Dias restantes: 9</t>
  </si>
  <si>
    <t>Atualização Comercial – MAIO 2026
🔍 *RESUMO*
✔️ Realizado: R$ 223.636,39
📅 Média/dia: R$ 10.165,29
🎫 Ticket médio: R$ 37,04
👥 Atend./dia: 276
🎯 *METAS (vs. OURO)*
Desempenho: 63.08%
Faltam: R$ 130.890,66
(Bronze: R$ 344.679,08 | Prata: R$ 349.603,07 | Ouro: R$ 354.527,05)
📉 *COMPARAÇÕES*
◀️ Média necessária p/ Ouro: R$ 16.361,33
(vs. atual: R$ 10.165,29)
◀️ Maio/2025: R$ 328.265,79
📈 Variação anual (prev.): -4.00%
💡 *INSIGHT ESTRATÉGICO*
O cenário para o sprint final de Maio exige uma *aceleração tática* imediata. A projeção de fechamento em R$ 315K nos deixa aquém da Meta Bronze e, ainda mais crítico, 4% abaixo do ano anterior. O desafio é elevar nossa média diária de R$ 10.165 para R$ 16.361 nos 8 dias restantes, o que implica um aumento de 61%.
Minha recomendação é focar na **intensificação do Ticket Médio** e **otimização do fluxo existente**. Com 276 atendimentos/dia, temos a base:
1.  **Foco em Combos &amp; Upgrades:** Criar e comunicar *kits de produtos irresistíveis* ou *ofertas de upgrade* com valor agregado claro na ponta de venda. A meta é **elevar o Ticket Médio para R$ 55-R$ 60** nos próximos dias.
2.  **Campanha "Última Chance":** Ativar promoções-relâmpago de curta duração e alta atratividade, focadas em produtos de maior margem ou estoque parado, gerando senso de urgência e impulsionando a conversão e volume.
Precisamos extrair o máximo de cada cliente para reverter a tendência negativa e, no mínimo, garantir a Meta Bronze, mantendo o Ouro como objetivo final com um esforço concentrado.
📆 Projeção de fechamento: R$ 315.124,00
🗓️ Dias restantes: 8</t>
  </si>
  <si>
    <t>Atualização Comercial – MAIO 2026
🔍 *RESUMO*
✔️ Realizado: R$ 238.599,57
📅 Média/dia: R$ 10.373,89
🎫 Ticket médio: R$ 37,26
👥 Atend./dia: 280
🎯 *METAS (vs. OURO)*
Desempenho: 67.30%
Faltam: R$ 115.927,48
(Bronze: R$ 344.679,08 | Prata: R$ 349.603,07 | Ouro: R$ 354.527,05)
📉 *COMPARAÇÕES*
◀️ Média necessária p/ Ouro: R$ 16.561,07
(vs. atual: R$ 10.373,89)
◀️ Maio/2025: R$ 328.265,79
📈 Variação anual (prev.): -2.03%
💡 *INSIGHT ESTRATÉGICO*
A reta final de Maio nos exige um *ajuste de rota tático*. A projeção de fechamento (R$ 321.590,72) nos coloca abaixo da Meta Bronze e, preocupantemente, com uma variação negativa em relação ao ano anterior. O desafio para a Meta Ouro nos últimos 7 dias, com R$ 16.561,07/dia, representa um salto de 60% em nossa média atual – um cenário de altíssima pressão.
O foco em apenas aumentar o fluxo de atendimentos pode não ser suficiente. O *ponto de alavancagem* crucial agora é otimizar cada transação e elevar o valor percebido.
**Recomendações para os próximos 7 dias:**
1.  **Blitz de Ticket Médio:** Treinamento intensivo para a equipe focar em combos de valor, up-selling e cross-selling de produtos com maior margem ou que naturalmente elevam o valor do carrinho. A meta é quebrar a barreira do ticket médio atual de R$ 37,26.
2.  **Campanha "Sprint Final":** Lançar uma micro-campanha de incentivo para os últimos dias, focando em produtos de alto giro ou complementares, com uma comunicação de "última oportunidade do mês" para estimular decisões rápidas e compras de maior valor.
3.  **Reativação Inteligente:** Priorizar contatos com clientes de alto potencial ou que tiveram transações recentes, oferecendo um benefício exclusivo para uma compra adicional antes do fechamento do mês.
Nosso objetivo principal deve ser minimizar o déficit em relação ao ano passado e buscar com toda força a Meta Bronze, capitalizando ao máximo cada oportunidade nos dias restantes.
📆 Projeção de fechamento: R$ 321.590,72
🗓️ Dias restantes: 7</t>
  </si>
  <si>
    <t>Atualização Comercial – MAIO 2026
🔍 *RESUMO*
✔️ Realizado: R$ 248.371,46
📅 Média/dia: R$ 10.348,81
🎫 Ticket médio: R$ 37,37
👥 Atend./dia: 278
🎯 *METAS (vs. OURO)*
Desempenho: 70.06%
Faltam: R$ 106.155,59
(Bronze: R$ 344.679,08 | Prata: R$ 349.603,07 | Ouro: R$ 354.527,05)
📉 *COMPARAÇÕES*
◀️ Média necessária p/ Ouro: R$ 17.692,60
(vs. atual: R$ 10.348,81)
◀️ Maio/2025: R$ 328.265,79
📈 Variação anual (prev.): -2.27%
💡 *INSIGHT ESTRATÉGICO*
Com apenas 6 dias no placar de Maio, estamos em um ponto de inflexão crítico. A projeção atual nos distancia não só da Meta Ouro, que exigiria um salto de 71% na média diária para ser alcançada, mas também nos coloca aquém do patamar de desempenho de Maio/2025 e, preocupantemente, da própria Meta Bronze. O desafio é grande, mas não intransponível com ações imediatas e focadas.
Minha recomendação é acionar um **'Comando de Resgate de Maio'** com as seguintes frentes estratégicas:
1.  **Foco Intensivo em Ticket Médio e Volume:** Implementar de imediato *kits e combos promocionais* estratégicos (ex: "Leve 2, pague 1,5" ou "Monte seu Kit e ganhe X%"), com o objetivo de elevar o valor médio por transação. Precisamos sair da faixa dos R$37,37.
2.  **Aceleração de Estoque Chave e Novidades:** Realizar uma **'Queima Tática de Estoque'** em produtos de maior margem ou com giro lento via *flash sales* no ponto de venda, com comunicação visual impactante. Simultaneamente, promover fortemente *lançamentos ou produtos sazonais* de maior valor percebido.
3.  **Incentivo Direto à Equipe:** Criar um **desafio de "Ticket Médio Campeão"** para os últimos 6 dias, com bonificação por atingimento de um novo target agressivo de ticket médio diário, estimulando a equipe a maximizar cada atendimento.
Precisamos de ações que gerem um impacto financeiro imediato e tangível para fechar o mês o mais próximo possível das nossas ambições, superando a variação negativa em relação ao ano anterior.
📆 Projeção de fechamento: R$ 320.813,14
🗓️ Dias restantes: 6</t>
  </si>
  <si>
    <t>Atualização Comercial – MAIO 2026
🔍 *RESUMO*
✔️ Realizado: R$ 256.551,49
📅 Média/dia: R$ 10.262,06
🎫 Ticket médio: R$ 37,20
👥 Atend./dia: 278
🎯 *METAS (vs. OURO)*
Desempenho: 72.36%
Faltam: R$ 97.975,56
(Bronze: R$ 344.679,08 | Prata: R$ 349.603,07 | Ouro: R$ 354.527,05)
📉 *COMPARAÇÕES*
◀️ Média necessária p/ Ouro: R$ 19.595,11
(vs. atual: R$ 10.262,06)
◀️ Maio/2025: R$ 328.265,79
📈 Variação anual (prev.): -3.09%
💡 *INSIGHT ESTRATÉGICO*
A contagem regressiva de 5 dias nos coloca em um cenário que exige uma **manobra tática imediata** para reverter a projeção. Estamos rodando com uma média diária significativamente abaixo da necessária para atingir qualquer meta, e o gap para o Ouro é alarmante, demandando quase o dobro do nosso ritmo atual.
No entanto, o alto volume de atendimentos (278/dia) com um ticket médio de R$37,20 revela um **tesouro escondido**: temos tráfego, precisamos otimizar cada interação. A questão não é *quantas pessoas* entram, mas *quanto valor* extraímos de cada uma delas. Para este sprint final, nossa estratégia deve focar em elevar o *valor por cliente*, transformando atendimentos em vendas mais robustas.
Sugestões práticas para os próximos 5 dias:
1.  **"Upgrade Express":** Promover com veemência a venda de itens complementares ou de valor agregado superior no momento do checkout, com foco em duplas e trios que elevem o ticket médio.
2.  **"Meta Vendedor Ouro":** Desdobrar a meta diária de R$19.595,11 para a equipe, com um incentivo pontual e agressivo (ex: bônus por ticket médio acima de X) para os vendedores que superarem um novo patamar de desempenho individual.
3.  **"Promoção Relâmpago para Itens de Giro Rápido":** Ativar promoções "leve 2 pague 1" ou "desconto progressivo" em produtos-chave que naturalmente impulsionam o volume e o valor do carrinho.
É hora de acender o modo turbo, capacitar a equipe para o upsell e garantir que cada cliente saia com um carrinho mais completo e valioso.
📆 Projeção de fechamento: R$ 318.123,85
🗓️ Dias restantes: 5</t>
  </si>
  <si>
    <t>Atualização Comercial – MAIO 2026
🔍 *RESUMO*
✔️ Realizado: R$ 265.324,93
📅 Média/dia: R$ 10.204,81
🎫 Ticket médio: R$ 37,11
👥 Atend./dia: 277
🎯 *METAS (vs. OURO)*
Desempenho: 74.84%
Faltam: R$ 89.202,12
(Bronze: R$ 344.679,08 | Prata: R$ 349.603,07 | Ouro: R$ 354.527,05)
📉 *COMPARAÇÕES*
◀️ Média necessária p/ Ouro: R$ 22.300,53
(vs. atual: R$ 10.204,81)
◀️ Maio/2025: R$ 328.265,79
📈 Variação anual (prev.): -3.63%
💡 *INSIGHT ESTRATÉGICO*
Estamos nos 4 dias finais com um desafio acentuado: precisamos mais que dobrar a média diária para atingir o Ouro. A projeção atual nos deixa abaixo do ano anterior, indicando que o ritmo precisa mudar. Nosso Ticket Médio de R$ 37,11, apesar do bom fluxo de 277 atendimentos/dia, é o ponto de alavancagem.
Para a *reta final*, proponho uma 'Operação Alvo':
1.  **Foco em Basket Size:** Implementar imediatamente uma *campanha de combos estratégicos* (ex: "Leve 2 itens e o 2º com 50% OFF" ou "Upgrade para a versão premium com X% de desconto") e promoções que incentivem a ultrapassar o ticket médio atual, como "Compras acima de R$50 ganham um brinde exclusivo".
2.  **Incentivo Direcionado:** Criar um bônus de performance para a equipe focado não apenas em vendas, mas especificamente no *aumento do ticket médio diário* nos próximos 4 dias.
3.  **Disparo Relâmpago:** Ativar uma comunicação via SMS/WhatsApp para nossa base de clientes com 'ofertas de última chance' em produtos de alto valor agregado.
É um momento de reorientar nossos esforços para maximizar o valor de cada interação e buscar uma virada nos últimos metros.
📆 Projeção de fechamento: R$ 316.348,96
🗓️ Dias restantes: 4</t>
  </si>
  <si>
    <t>Atualização Comercial – MAIO 2026
🔍 *RESUMO*
✔️ Realizado: R$ 273.814,89
📅 Média/dia: R$ 10.141,29
🎫 Ticket médio: R$ 36,98
👥 Atend./dia: 276
🎯 *METAS (vs. OURO)*
Desempenho: 77.23%
Faltam: R$ 80.712,16
(Bronze: R$ 344.679,08 | Prata: R$ 349.603,07 | Ouro: R$ 354.527,05)
📉 *COMPARAÇÕES*
◀️ Média necessária p/ Ouro: R$ 26.904,05
(vs. atual: R$ 10.141,29)
◀️ Maio/2025: R$ 328.265,79
📈 Variação anual (prev.): -4.23%
💡 *INSIGHT ESTRATÉGICO*
Com 3 dias restantes, o cenário exige uma **recalibragem estratégica urgente**. A projeção de fechamento (R$ 314k) nos coloca abaixo de MAIO/2025 e distantes até da Meta Bronze. Atingir o Ouro, que exigiria um aumento de quase 160% na média diária, é um desafio de proporções gigantescas.
Nosso foco para este **sprint decisivo** deve ser em **maximizar a receita por atendimento**. Sugiro uma blitz de 72 horas para:
1.  **Acelerar o Ticket Médio:** Treinamento relâmpago e incentivos para que a equipe priorize upsell e cross-sell, transformando os 276 atendimentos diários em vendas de maior valor agregado.
2.  **Ofertas de Última Hora:** Criar "packs" ou combos de produtos complementares com descontos atrativos para elevar o valor da compra.
3.  **Campanha 'Flash' para Base de Clientes:** Acionar via WhatsApp/SMS um grupo seleto de clientes com uma oferta de "última chance do mês" focada em itens de maior margem ou ticket elevado.
A meta é superar a projeção atual e nos aproximarmos ao máximo do resultado de 2025, minimizando o impacto negativo do mês.
📆 Projeção de fechamento: R$ 314.380,06
🗓️ Dias restantes: 3</t>
  </si>
  <si>
    <t>Atualização Comercial – MAIO 2026
🔍 *RESUMO*
✔️ Realizado: R$ 281.792,64
📅 Média/dia: R$ 10.064,02
🎫 Ticket médio: R$ 36,81
👥 Atend./dia: 275
🎯 *METAS (vs. OURO)*
Desempenho: 79.48%
Faltam: R$ 72.734,41
(Bronze: R$ 344.679,08 | Prata: R$ 349.603,07 | Ouro: R$ 354.527,05)
📉 *COMPARAÇÕES*
◀️ Média necessária p/ Ouro: R$ 36.367,20
(vs. atual: R$ 10.064,02)
◀️ Maio/2025: R$ 328.265,79
📈 Variação anual (prev.): -4.96%
💡 *INSIGHT ESTRATÉGICO*
Estamos na reta final de Maio, e os números indicam que a Meta Ouro é um *pico inatingível* com a performance atual, exigindo uma média diária quase 3 vezes superior à nossa. A projeção de fechar o mês com quase 5% abaixo do ano anterior (Maio/2025) acende um alerta sobre nossa trajetória de crescimento.
Para os próximos 2 dias, nosso foco deve ser um **"Sprint Estratégico de Valor"** para minimizar o gap e reverter a tendência negativa o máximo possível. Recomendo:
1.  **Foco em Pacotes e Combos:** Desenvolver e promover agressivamente pacotes de produtos/serviços que elevem o Ticket Médio, incentivando a compra de mais itens por cliente.
2.  **Campanha "Últimas Horas":** Criar uma comunicação interna e externa para a equipe e clientes, respectivamente, com ofertas irresistíveis para compras de alto valor ou múltiplos itens, com validade restrita às próximas 48h.
3.  **Metas de Conversão Intensificadas:** Mais do que a quantidade de atendimentos, precisamos otimizar a conversão e o valor de cada venda. Estabelecer um *target agressivo de ticket médio* para as equipes nestes dois dias, com bônus por superação.
Aproveitemos este fechamento de mês para um esforço final de impacto, transformando a energia da equipe em resultados tangíveis para impulsionar Junho.
📆 Projeção de fechamento: R$ 311.984,71
🗓️ Dias restantes: 2</t>
  </si>
  <si>
    <t>Atualização Comercial – MAIO 2026
🔍 *RESUMO*
✔️ Realizado: R$ 290.226,76
📅 Média/dia: R$ 10.007,82
🎫 Ticket médio: R$ 36,77
👥 Atend./dia: 274
🎯 *METAS (vs. OURO)*
Desempenho: 81.86%
Faltam: R$ 64.300,29
(Bronze: R$ 344.679,08 | Prata: R$ 349.603,07 | Ouro: R$ 354.527,05)
📉 *COMPARAÇÕES*
◀️ Média necessária p/ Ouro: R$ 64.300,29
(vs. atual: R$ 10.007,82)
◀️ Maio/2025: R$ 328.265,79
📈 Variação anual (prev.): -5.49%
💡 *INSIGHT ESTRATÉGICO*
Chegamos ao "Dia D" de Maio, e a realidade dos números nos confronta com um cenário de altíssimo desafio para as metas. A Meta Ouro exige que performemos R$ 64.300,29 em apenas um dia, o que significa multiplicar por mais de 6x nossa média de vendas atual. Mesmo a Meta Bronze requer um esforço equivalente a 5.5x o que fazemos em um dia comum.
Para este *último sprint*, sugiro mobilizar as equipes para um "esforço de guerra" focado e estratégico:
1.  **Disparo de Oportunidade:** Promoções de "última chance" em categorias com maior margem ou itens de alto valor, comunicadas de forma urgente por SMS ou WhatsApp para a base de clientes mais engajados.
2.  **Conversão Aguda:** Equipe de vendas focada em fechar negócios já em andamento, oferecer upgrades de última hora ou incentivos para aquisições imediatas. O objetivo é converter cada atendimento em uma venda robusta.
3.  **Cross-selling Massivo:** Treinamento rápido para a equipe empacotar itens complementares de forma irresistível, elevando o ticket médio de todas as vendas.
Paralelamente, a projeção de fechamento abaixo do ano anterior é um sinal de que Maio exigirá uma análise aprofundada. Entender onde perdemos tração na jornada do cliente, desde o engajamento inicial até a finalização da compra, será crucial. É hora de descompactar os dados de tráfego, taxa de conversão e mix de produtos para recalibrar o plano de voo de Junho e reposicionar o varejo para a recuperação e o crescimento sustentável.
📆 Projeção de fechamento: R$ 310.242,40
🗓️ Dias restantes: 1</t>
  </si>
  <si>
    <t>Atualização Comercial – MAIO 2026
🔍 *RESUMO*
✔️ Realizado: R$ 303.215,74
📅 Média/dia: R$ 10.107,19
🎫 Ticket médio: R$ 36,58
👥 Atend./dia: 278
🎯 *METAS (vs. OURO)*
Desempenho: 85.53%
Faltam: R$ 51.311,31
(Bronze: R$ 344.679,08 | Prata: R$ 349.603,07 | Ouro: R$ 354.527,05)
📉 *COMPARAÇÕES*
◀️ Média necessária p/ Ouro: R$ 0,00
(vs. atual: R$ 10.107,19)
◀️ Maio/2025: R$ 328.265,79
📈 Variação anual (prev.): -4.55%
💡 *INSIGHT ESTRATÉGICO*
O mês de MAIO/2026 foi concluído, e os dados finais estão consolidados: fechamos em R$ 303.215,74. Este valor, infelizmente, nos posiciona abaixo de todas as metas (Bronze, Prata, Ouro) e, crucialmente, representa uma retração significativa frente a Maio/2025. É um resultado que demanda uma análise forense e uma resposta ágil.
Com o placar final de Maio apurado, a nossa mira agora deve ser 100% em Junho. Não há mais como influenciar o mês que passou, mas podemos e devemos capitalizar as lições aprendidas.
**Plano de Ação para o Campo de Batalha de Junho:**
1.  **"Desmontar" Maio:** Reunião imediata com as lideranças para dissecar os dados de conversão por período e por equipe. Onde perdemos vendas? Onde o fluxo de atendimento (278/dia) não se traduziu em faturamento?
2.  **Ajuste Fino no Ticket Médio:** Com R$ 36,58, temos uma alavanca clara. Vamos implementar um reforço em técnicas de up-selling e cross-selling, com foco em produtos complementares e combos que elevem o valor da compra sem onerar o cliente.
3.  **Recuperação Agressiva em Junho:** Definir um "game plan" diário com micro-metas de faturamento e ticket médio para Junho que visem não só cumprir as novas metas, mas compensar a lacuna de Maio e reverter a tendência de variação anual negativa.
Junho precisa ser o mês da virada estratégica, da execução impecável e da recuperação do nosso momentum.
📆 Projeção de fechamento: R$ 313.322,93
🗓️ Dias restantes: 0</t>
  </si>
  <si>
    <t>Atualização Comercial – MAIO 2026
🔍 *RESUMO*
✔️ Realizado: R$ 313.500,49
📅 Média/dia: R$ 10.112,92
🎫 Ticket médio: R$ 36,59
👥 Atend./dia: 278
🎯 *METAS (vs. OURO)*
Desempenho: 88.43%
Faltam: R$ 41.026,56
(Bronze: R$ 344.679,08 | Prata: R$ 349.603,07 | Ouro: R$ 354.527,05)
📉 *COMPARAÇÕES*
◀️ Média necessária p/ Ouro: R$ 0,00
(vs. atual: R$ 10.112,92)
◀️ Maio/2025: R$ 328.265,79
📈 Variação anual (prev.): -4.50%
💡 *INSIGHT ESTRATÉGICO*
Maio de 2026 se encerrou, e os números indicam que "fechamos o livro" deste mês abaixo das expectativas. Não só falhamos em atingir qualquer uma de nossas metas (inclusive a Meta Bronze), como também registramos uma retração preocupante de 4.50% em comparação com o desempenho de Maio de 2025. Este resultado não pode ser ignorado.
Nossa média de atendimentos foi robusta, mas o ticket médio de R$ 36,59, embora consistente, não foi a alavanca de faturamento necessária. A questão principal parece residir na conversão de volume em valor e na sustentabilidade do crescimento year-over-year.
Para que Junho não siga o mesmo enredo, sugiro uma ação imediata focada em **"Desbloqueio de Valor e Recuperação de Terreno"**:
1.  **Revisão Agressiva de Ofertas para Ticket Médio:** Precisamos analisar a fundo quais produtos ou categorias estão subperformando. Criar combos irresistíveis, programas de fidelidade ou ofertas escalonadas (ex: "compre X, ganhe Y" ou descontos progressivos por valor de compra) que incentivem o cliente a gastar mais em cada visita é crucial. O treinamento da equipe para venda de valor agregado deve ser intensificado.
2.  **Análise Pós-Venda e Retenção:** Quais clientes deixamos na mesa em Maio? Podemos usar os dados para identificar padrões e lançar uma campanha de reativação super segmentada no início de Junho, com promoções personalizadas para trazer de volta quem não comprou ou quem comprou pouco.
Maio é um capítulo encerrado, mas nos oferece dados valiosos. É hora de usar essa inteligência para reescrever o próximo, transformando essa queda em um trampolim para um Junho de crescimento estratégico.
📆 Projeção de fechamento: R$ 313.500,49
🗓️ Dias restantes: 0</t>
  </si>
  <si>
    <t>Atualização Comercial – JUNHO 2026
🔍 *RESUMO*
✔️ Realizado: R$ 8.937,75
📅 Média/dia: R$ 8.937,75
🎫 Ticket médio: R$ 30,40
👥 Atend./dia: 297
🎯 *METAS (vs. OURO)*
Desempenho: 2.50%
Faltam: R$ 347.952,42
(Bronze: R$ 346.976,55 | Prata: R$ 351.933,36 | Ouro: R$ 356.890,17)
📉 *COMPARAÇÕES*
◀️ Média necessária p/ Ouro: R$ 12.426,87
(vs. atual: R$ 8.937,75)
◀️ Junho/2025: R$ 330.453,86
📈 Variação anual (prev.): -18.86%
💡 *INSIGHT ESTRATÉGICO*
Junho nos oferece um novo tabuleiro, e os primeiros movimentos já indicam a necessidade de uma estratégia ofensiva imediata. A média diária para o Ouro (R$ 12.426,87) exige um salto de quase 39% sobre nosso ritmo atual, além de termos uma projeção que nos coloca 18.86% abaixo do ano anterior. Não podemos esperar para reagir.
Minha recomendação é focar em "multiplicadores de valor":
1.  **Elevando o *Ticket Médio* via Treinamento de Descoberta:** Implementar um refresh intensivo no treinamento da equipe de vendas, focando em "descoberta de necessidade" para cross-sell e up-sell, visando aumentar o valor de cada carrinho.
2.  **Otimização de Horários de Pico/Vale:** Usar dados de fluxo de clientes para intensificar pequenas ações de comunicação ou promoções focadas em horários de menor movimento, convertendo o tempo ocioso em vendas incrementais e aumentando os atendimentos totais.
Precisamos construir o ímpeto desde o dia um para fechar a lacuna e superar a referência do ano passado.
📆 Projeção de fechamento: R$ 268.132,50
🗓️ Dias restantes: 28</t>
  </si>
  <si>
    <t>Atualização Comercial – JUNHO 2026
🔍 *RESUMO*
✔️ Realizado: R$ 18.500,79
📅 Média/dia: R$ 9.250,40
🎫 Ticket médio: R$ 33,88
👥 Atend./dia: 275
🎯 *METAS (vs. OURO)*
Desempenho: 5.18%
Faltam: R$ 338.389,38
(Bronze: R$ 346.976,55 | Prata: R$ 351.933,36 | Ouro: R$ 356.890,17)
📉 *COMPARAÇÕES*
◀️ Média necessária p/ Ouro: R$ 12.532,94
(vs. atual: R$ 9.250,40)
◀️ Junho/2025: R$ 330.453,86
📈 Variação anual (prev.): -16.02%
💡 *INSIGHT ESTRATÉGICO*
O mês de junho iniciou com um ritmo que *exige atenção imediata*. Embora seja o começo, a média de venda diária atual (R$ 9.250,40) está R$ 3.282,54 abaixo do mínimo necessário para aspirar à Meta Ouro. Este *desalinhamento* já se reflete numa projeção de fechamento 16% inferior a Junho/2025 – um dado que não podemos ignorar. Com 275 atendimentos diários e um Ticket Médio de R$ 33,88, percebe-se que o fluxo de clientes existe. O *ponto de alavancagem imediato* reside em transformar cada atendimento em uma venda de maior valor. Minha sugestão é mobilizar a equipe para um *foco cirúrgico no Ticket Médio*. Lançar um desafio interno de upselling/cross-selling com combos de produtos estratégicos ou itens complementares, com metas claras e visíveis para cada vendedor. Paralelamente, precisamos analisar o que impulsionou o desempenho em Junho/2025 e adaptar estratégias para *reverter a tendência negativa anual* o mais rápido possível. A meta é impulsionar a receita por cliente, sem depender apenas do aumento de tráfego, que já parece robusto.
📆 Projeção de fechamento: R$ 277.511,85
🗓️ Dias restantes: 27</t>
  </si>
  <si>
    <t>Atualização Comercial – JUNHO 2026
🔍 *RESUMO*
✔️ Realizado: R$ 29.104,30
📅 Média/dia: R$ 9.701,43
🎫 Ticket médio: R$ 35,15
👥 Atend./dia: 278
🎯 *METAS (vs. OURO)*
Desempenho: 8.15%
Faltam: R$ 327.785,87
(Bronze: R$ 346.976,55 | Prata: R$ 351.933,36 | Ouro: R$ 356.890,17)
📉 *COMPARAÇÕES*
◀️ Média necessária p/ Ouro: R$ 12.607,15
(vs. atual: R$ 9.701,43)
◀️ Junho/2025: R$ 330.453,86
📈 Variação anual (prev.): -11.93%
💡 *INSIGHT ESTRATÉGICO*
Observamos um fluxo de 278 atendimentos/dia, um bom volume que demonstra potencial de interação com nossa base de clientes. Contudo, o ticket médio de R$ 35,15 está nos distanciando da Meta Ouro, exigindo um salto de quase R$ 3.000,00 na média diária para alcançá-la. Mais alarmante, a projeção atual nos coloca com quase 12% de queda em relação ao desempenho de Junho do ano anterior.
Este é o momento de capitalizar nosso tráfego. Precisamos de uma **calibragem estratégica urgente para elevar o valor de cada cesta de compra**. Recomendo focar em:
1.  **Programa de Valor Agregado:** Intensificar o treinamento e o acompanhamento da equipe para um *upsell* e *cross-sell* eficaz de itens complementares ou de maior valor em todas as interações.
2.  **Ofertas de Combos/Kits:** Criar pacotes promocionais inteligentes e atrativos que estimulem a compra de múltiplos itens ou a experimentação de produtos premium.
3.  **Monitoramento e Incentivo Diário ao TM:** Estabelecer e comunicar metas diárias de Ticket Médio por turno/equipe, com um sistema de reconhecimento rápido para quem supera o desafio.
Ainda temos 26 dias no mês, mas a *trajetória de junho/25* já aponta a necessidade de reverter o curso com agilidade para não solidificar a queda projetada e, principalmente, alcançar nossas metas ambiciosas.
📆 Projeção de fechamento: R$ 291.043,00
🗓️ Dias restantes: 26</t>
  </si>
  <si>
    <t>Atualização Comercial – JUNHO 2026
🔍 *RESUMO*
✔️ Realizado: R$ 40.388,71
📅 Média/dia: R$ 10.097,18
🎫 Ticket médio: R$ 35,12
👥 Atend./dia: 289
🎯 *METAS (vs. OURO)*
Desempenho: 11.32%
Faltam: R$ 316.501,46
(Bronze: R$ 346.976,55 | Prata: R$ 351.933,36 | Ouro: R$ 356.890,17)
📉 *COMPARAÇÕES*
◀️ Média necessária p/ Ouro: R$ 12.660,06
(vs. atual: R$ 10.097,18)
◀️ Junho/2025: R$ 330.453,86
📈 Variação anual (prev.): -8.33%
💡 *INSIGHT ESTRATÉGICO*
O cenário atual sinaliza que estamos *navegando abaixo da velocidade de cruzeiro* para alcançar nossa Meta Ouro. A média diária de R$ 10.097,18 está R$ 2.562,88 aquém do necessário, e a projeção de fechamento aponta para um recuo de 8,33% em relação a Junho/2025.
Este é o momento de *recalibrar a rota com assertividade*. Sugiro uma imersão nas métricas de conversão e um *empurrão estratégico no Ticket Médio*. Podemos explorar ações de *upselling/cross-selling focadas em produtos complementares* ou a criação de *bundles de valor percebido* para elevar o valor da cesta, sem necessariamente depender de um aumento massivo no volume de atendimentos. O foco deve ser em *extrair mais de cada interação*, transformando cada atendimento em uma oportunidade de valor maior para o cliente e para o negócio. Os primeiros dias do mês são cruciais para definir o ritmo; temos 25 dias para virar este jogo.
📆 Projeção de fechamento: R$ 302.915,33
🗓️ Dias restantes: 25</t>
  </si>
  <si>
    <t>Atualização Comercial – JUNHO 2026
🔍 *RESUMO*
✔️ Realizado: R$ 40.388,71
📅 Média/dia: R$ 10.097,18
🎫 Ticket médio: R$ 35,12
👥 Atend./dia: 289
🎯 *METAS (vs. OURO)*
Desempenho: 11.32%
Faltam: R$ 316.501,46
(Bronze: R$ 346.976,55 | Prata: R$ 351.933,36 | Ouro: R$ 356.890,17)
📉 *COMPARAÇÕES*
◀️ Média necessária p/ Ouro: R$ 13.187,56
(vs. atual: R$ 10.097,18)
◀️ Junho/2025: R$ 330.453,86
📈 Variação anual (prev.): -8.33%
💡 *INSIGHT ESTRATÉGICO*
O início de Junho mostra bom volume de atendimentos, o que é positivo. No entanto, a projeção de fechamento abaixo do ano anterior (-8.33%) e de todas as metas acende um alerta vermelho. Para atingirmos o Ouro, precisamos acelerar a média diária em R$ 3.090,38. O desafio agora é *converter o tráfego existente em mais valor por transação*. Recomendo uma ofensiva focada em *otimizar o Ticket Médio*. Implementar combos estratégicos, "up-grades" incentivados no caixa ou promoções de "leve 2 pague 1" em itens de maior valor agregado, buscando elevar nosso TM para a faixa de R$45-47 nos próximos 7 dias. Precisamos injetar mais 'potência por venda' para decolar a performance.
📆 Projeção de fechamento: R$ 302.915,33
🗓️ Dias restantes: 24</t>
  </si>
  <si>
    <t>Atualização Comercial – JUNHO 2026
🔍 *RESUMO*
✔️ Realizado: R$ 64.440,09
📅 Média/dia: R$ 10.740,01
🎫 Ticket médio: R$ 34,57
👥 Atend./dia: 312
🎯 *METAS (vs. OURO)*
Desempenho: 18.06%
Faltam: R$ 292.450,08
(Bronze: R$ 346.976,55 | Prata: R$ 351.933,36 | Ouro: R$ 356.890,17)
📉 *COMPARAÇÕES*
◀️ Média necessária p/ Ouro: R$ 12.715,22
(vs. atual: R$ 10.740,01)
◀️ Junho/2025: R$ 330.453,86
📈 Variação anual (prev.): -2.50%
💡 *INSIGHT ESTRATÉGICO*
Estamos nos primeiros giros de Junho, mas o velocímetro atual projeta uma desaceleração preocupante: -2.5% vs. ano anterior e um distante R$ 322k do Ouro. Para realinhar nossa rota e não apenas bater, mas *superar* 2025, precisamos acelerar de R$ 10.740 para R$ 12.715 diários. Esse gap de quase R$ 2 mil/dia exige uma injeção de performance cirúrgica. Proponho: 1) **Ação "Turbina Venda":** Foco em produtos de alto valor agregado ou combos premium, com metas claras de upselling/cross-selling por turno, incentivando a equipe a elevar o Ticket Médio além dos R$ 34,57. 2) **Blitz de Engajamento Digital:** Lançar uma campanha-relâmpago via mídias sociais ou listas VIP (WhatsApp/e-mail) para impulsionar o tráfego e atendimentos em horários de menor movimento, convertendo a audiência em vendas extras com ofertas irresistíveis de curto prazo. É hora de engatar a marcha mais alta e transformar a projeção de "perigo" em "oportunidade".
📆 Projeção de fechamento: R$ 322.200,45
🗓️ Dias restantes: 23</t>
  </si>
  <si>
    <t>Atualização Comercial – JUNHO 2026
🔍 *RESUMO*
✔️ Realizado: R$ 74.183,98
📅 Média/dia: R$ 10.597,71
🎫 Ticket médio: R$ 35,31
👥 Atend./dia: 302
🎯 *METAS (vs. OURO)*
Desempenho: 20.79%
Faltam: R$ 282.706,19
(Bronze: R$ 346.976,55 | Prata: R$ 351.933,36 | Ouro: R$ 356.890,17)
📉 *COMPARAÇÕES*
◀️ Média necessária p/ Ouro: R$ 12.850,28
(vs. atual: R$ 10.597,71)
◀️ Junho/2025: R$ 330.453,86
📈 Variação anual (prev.): -3.79%
💡 *INSIGHT ESTRATÉGICO*
Estamos numa encruzilhada: a projeção atual nos coloca abaixo do desempenho do ano anterior e distantes das Metas Ouro, Prata e até Bronze. A média diária necessária (R$ 12.850,28) está R$ 2.252,57 acima do nosso ritmo atual. Com 302 atendimentos/dia, não é apenas volume, mas sim *valor por atendimento* que precisamos otimizar. Para cruzar essa lacuna e mirar o Ouro, precisamos elevar o ticket médio em, no mínimo, 20% (de R$ 35,31 para R$ 42,55). Recomendo foco imediato em estratégias de *upselling* e *cross-selling* bem direcionadas, incentivando a venda de itens complementares ou de maior valor agregado em cada transação. Vamos transformar cada atendimento em uma alavanca para o resultado final.
📆 Projeção de fechamento: R$ 317.931,34
🗓️ Dias restantes: 22</t>
  </si>
  <si>
    <t>Atualização Comercial – JUNHO 2026
🔍 *RESUMO*
✔️ Realizado: R$ 84.352,63
📅 Média/dia: R$ 10.544,08
🎫 Ticket médio: R$ 35,15
👥 Atend./dia: 301
🎯 *METAS (vs. OURO)*
Desempenho: 23.64%
Faltam: R$ 272.537,54
(Bronze: R$ 346.976,55 | Prata: R$ 351.933,36 | Ouro: R$ 356.890,17)
📉 *COMPARAÇÕES*
◀️ Média necessária p/ Ouro: R$ 12.977,98
(vs. atual: R$ 10.544,08)
◀️ Junho/2025: R$ 330.453,86
📈 Variação anual (prev.): -4.28%
💡 *INSIGHT ESTRATÉGICO*
Estamos com uma projeção preocupante de -4.28% em relação ao ano anterior e bem distantes da Meta Ouro, exigindo um salto de R$ 2.433,90 na média diária. O ponto crítico não é a falta de clientes, pois temos um bom volume de 301 atendimentos/dia. A chave reside em *otimizar o valor de cada carrinho*. Nosso Ticket Médio de R$ 35,15, embora estável, não é suficiente para impulsionar o volume total. Precisamos transformar cada interação em um "payload" maior.
**Recomendações URGENTES:**
1.  **Foco em Upsell &amp; Cross-sell Estruturado:** Lançar uma blitz de treinamento focada em agregar valor com produtos complementares e upgrades. Cada membro da equipe deve ter um "script" de sugestão para elevar o ticket.
2.  **Criação de Combos "Irresistíveis":** Desenvolver 2-3 pacotes ou kits temáticos (ex: "Kit Completo para o Frio", "Experiência Gourmet") com um desconto percebido que incentive o cliente a levar mais. Posicionar estrategicamente nas áreas de maior fluxo.
3.  **Desafio de Ticket Médio por Turno/Dia:** Estabelecer metas diárias de Ticket Médio por vendedor/turno, com bônus rápidos ou reconhecimento para quem demonstrar as maiores elevações. Não podemos mais nos contentar com a média atual; precisamos "esticar" cada venda. A meta é R$ 40-45 de TM para ontem.
📆 Projeção de fechamento: R$ 316.322,36
🗓️ Dias restantes: 21</t>
  </si>
  <si>
    <t>Atualização Comercial – JUNHO 2026
🔍 *RESUMO*
✔️ Realizado: R$ 91.639,63
📅 Média/dia: R$ 10.182,18
🎫 Ticket médio: R$ 34,88
👥 Atend./dia: 293
🎯 *METAS (vs. OURO)*
Desempenho: 25.68%
Faltam: R$ 265.250,54
(Bronze: R$ 346.976,55 | Prata: R$ 351.933,36 | Ouro: R$ 356.890,17)
📉 *COMPARAÇÕES*
◀️ Média necessária p/ Ouro: R$ 13.262,53
(vs. atual: R$ 10.182,18)
◀️ Junho/2025: R$ 330.453,86
📈 Variação anual (prev.): -7.56%
💡 *INSIGHT ESTRATÉGICO*
Diretoria, a projeção atual nos mostra que, mesmo com o desempenho do mês, estamos em rota de colisão com o resultado do ano passado. A diferença entre nossa média diária atual e a necessária para bater a meta Ouro é um abismo de R$ 3.080,35 por dia. Precisamos injetar mais energia no funil de vendas. Sugiro um foco em ações de *cross-selling* e *up-selling* agressivas nas próximas duas semanas, explorando nossos produtos de maior margem para elevar o ticket médio. Paralelamente, vamos ativar nossos clientes inativos com ofertas exclusivas e urgentes, pois cada venda adicional conta como um tijolo a mais na construção da nossa meta.
📆 Projeção de fechamento: R$ 305.465,43
🗓️ Dias restantes: 20</t>
  </si>
  <si>
    <t>Atualização Comercial – JUNHO 2026
🔍 *RESUMO*
✔️ Realizado: R$ 99.695,84
📅 Média/dia: R$ 9.969,58
🎫 Ticket médio: R$ 34,64
👥 Atend./dia: 289
🎯 *METAS (vs. OURO)*
Desempenho: 27.93%
Faltam: R$ 257.194,33
(Bronze: R$ 346.976,55 | Prata: R$ 351.933,36 | Ouro: R$ 356.890,17)
📉 *COMPARAÇÕES*
◀️ Média necessária p/ Ouro: R$ 13.536,54
(vs. atual: R$ 9.969,58)
◀️ Junho/2025: R$ 330.453,86
📈 Variação anual (prev.): -9.49%
💡 *INSIGHT ESTRATÉGICO*
Diretoria, o radar de performance indica que estamos navegando em águas agitadas, com a projeção atual ficando R$ 31.366,34 abaixo do realizado no ano passado, um declínio de quase 10%. A meta Ouro exige uma aceleração significativa, necessitando de um incremento diário de R$ 3.567,00 sobre nossa média atual – um salto de 36% na performance diária. É hora de acender os holofotes em produtos de maior valor agregado e impulsionar a venda de kits ou pacotes, incentivando o aumento do nosso ticket médio para que cada atendimento se transforme em um vetor de crescimento mais potente. Precisamos transformar cada cliente em um embaixador com ofertas irresistíveis e de alto impacto.
📆 Projeção de fechamento: R$ 299.087,52
🗓️ Dias restantes: 19</t>
  </si>
  <si>
    <t>Atualização Comercial – JUNHO 2026
🔍 *RESUMO*
✔️ Realizado: R$ 107.101,79
📅 Média/dia: R$ 9.736,53
🎫 Ticket médio: R$ 34,42
👥 Atend./dia: 284
🎯 *METAS (vs. OURO)*
Desempenho: 30.01%
Faltam: R$ 249.788,38
(Bronze: R$ 346.976,55 | Prata: R$ 351.933,36 | Ouro: R$ 356.890,17)
📉 *COMPARAÇÕES*
◀️ Média necessária p/ Ouro: R$ 13.877,13
(vs. atual: R$ 9.736,53)
◀️ Junho/2025: R$ 330.453,86
📈 Variação anual (prev.): -11.61%
💡 *INSIGHT ESTRATÉGICO*
Diretoria, nossa projeção de fechamento aponta para um desempenho abaixo do ano anterior, o que exige uma recalibragem imediata. A meta de Ouro demanda um salto de R$ 4.140,60 na nossa média diária, um desafio que podemos superar com uma ação direcionada de **"Acelera Mês"**. Proponho focarmos em produtos de **ticket médio mais elevado** e ativarmos **kits promocionais com valor agregado**, incentivando a compra por impulso e a conversão de atendimentos em vendas mais robustas. Vamos impulsionar nossos vendedores a sondarem ativamente as necessidades dos clientes e oferecerem soluções completas, transformando cada atendimento em uma oportunidade de ouro.
📆 Projeção de fechamento: R$ 292.095,79
🗓️ Dias restantes: 18</t>
  </si>
  <si>
    <t>Atualização Comercial – JUNHO 2026
🔍 *RESUMO*
✔️ Realizado: R$ 116.073,31
📅 Média/dia: R$ 9.672,78
🎫 Ticket médio: R$ 34,28
👥 Atend./dia: 284
🎯 *METAS (vs. OURO)*
Desempenho: 32.52%
Faltam: R$ 240.816,86
(Bronze: R$ 346.976,55 | Prata: R$ 351.933,36 | Ouro: R$ 356.890,17)
📉 *COMPARAÇÕES*
◀️ Média necessária p/ Ouro: R$ 14.165,70
(vs. atual: R$ 9.672,78)
◀️ Junho/2025: R$ 330.453,86
📈 Variação anual (prev.): -12.19%
💡 *INSIGHT ESTRATÉGICO*
Senhores, a corrente de vendas de Junho está se apresentando com um fôlego menor que o desejado. A média diária para alcançar o patamar Ouro precisa de um impulso de quase 50% comparada ao nosso ritmo atual. É hora de injetar mais velocidade e foco nas vendas de maior valor agregado. Sugiro focarmos em alavancar o ticket médio, incentivando o cross-selling com produtos complementares e treinando a equipe para explorar oportunidades de up-selling no ponto de venda. Paralelamente, uma campanha relâmpago de "Última Chance" para itens de alta margem pode criar o senso de urgência necessário para acelerar o giro.
📆 Projeção de fechamento: R$ 290.183,28
🗓️ Dias restantes: 17</t>
  </si>
  <si>
    <t>Atualização Comercial – JUNHO 2026
🔍 *RESUMO*
✔️ Realizado: R$ 116.073,31
📅 Média/dia: R$ 9.672,78
🎫 Ticket médio: R$ 34,28
👥 Atend./dia: 284
🎯 *METAS (vs. OURO)*
Desempenho: 32.52%
Faltam: R$ 240.816,86
(Bronze: R$ 346.976,55 | Prata: R$ 351.933,36 | Ouro: R$ 356.890,17)
📉 *COMPARAÇÕES*
◀️ Média necessária p/ Ouro: R$ 15.051,05
(vs. atual: R$ 9.672,78)
◀️ Junho/2025: R$ 330.453,86
📈 Variação anual (prev.): -12.19%
💡 *INSIGHT ESTRATÉGICO*
A maré atual nos mostra um fluxo de R$ 9.672,78 por dia, mas para alcançar o pódio de Ouro, precisamos de uma correnteza de R$ 15.051,05. A projeção de fechamento nos coloca 12% abaixo do desempenho do ano passado, um sinal de alerta que exige uma virada de jogo imediata. Sugiro focarmos em **impulsionar o ticket médio** com estratégias de upselling e cross-selling mais agressivas, talvez explorando **combos estratégicos** que incentivem o cliente a levar mais itens. Paralelamente, vamos ativar nossas bases de clientes adormecidos com **campanhas de recompra direcionadas**, oferecendo um motivo claro para voltarem às nossas lojas.
📆 Projeção de fechamento: R$ 290.183,28
🗓️ Dias restantes: 16</t>
  </si>
  <si>
    <t>Atualização Comercial – JUNHO 2026
🔍 *RESUMO*
✔️ Realizado: R$ 142.644,63
📅 Média/dia: R$ 10.188,90
🎫 Ticket médio: R$ 35,55
👥 Atend./dia: 288
🎯 *METAS (vs. OURO)*
Desempenho: 39.97%
Faltam: R$ 214.245,54
(Bronze: R$ 346.976,55 | Prata: R$ 351.933,36 | Ouro: R$ 356.890,17)
📉 *COMPARAÇÕES*
◀️ Média necessária p/ Ouro: R$ 14.283,04
(vs. atual: R$ 10.188,90)
◀️ Junho/2025: R$ 330.453,86
📈 Variação anual (prev.): -7.50%
💡 *INSIGHT ESTRATÉGICO*
A meta para o Ouro exige um salto significativo de **+R$ 4.094,14 diários** nos próximos 15 dias, o que representa um aumento de quase 40% sobre nossa média atual. Para impulsionar essa aceleração, sugiro focarmos em ações de alto impacto: **intensificar campanhas de impulso de venda** com ofertas exclusivas para clientes inativos e **promover combos estratégicos** que elevem o ticket médio, incentivando a compra de múltiplos itens. Precisamos transformar cada atendimento em uma oportunidade de aumentar o valor percebido e o volume de vendas.
📆 Projeção de fechamento: R$ 305.667,06
🗓️ Dias restantes: 15</t>
  </si>
  <si>
    <t>Atualização Comercial – JUNHO 2026
🔍 *RESUMO*
✔️ Realizado: R$ 154.164,39
📅 Média/dia: R$ 10.277,63
🎫 Ticket médio: R$ 35,14
👥 Atend./dia: 294
🎯 *METAS (vs. OURO)*
Desempenho: 43.20%
Faltam: R$ 202.725,78
(Bronze: R$ 346.976,55 | Prata: R$ 351.933,36 | Ouro: R$ 356.890,17)
📉 *COMPARAÇÕES*
◀️ Média necessária p/ Ouro: R$ 14.480,41
(vs. atual: R$ 10.277,63)
◀️ Junho/2025: R$ 330.453,86
📈 Variação anual (prev.): -6.70%
💡 *INSIGHT ESTRATÉGICO*
Diretoria, estamos navegando em águas turbulentas este mês. A média diária para alcançar a Meta Ouro exige um salto de quase 41% sobre nosso desempenho atual. É como tentar encher um balde furado com uma mangueira fina. Precisamos de ações de alto impacto: vamos focar em alavancar o ticket médio através de ofertas "compre e ganhe" mais agressivas em produtos de maior margem, e intensificar as campanhas de recuperação de clientes inativos com descontos personalizados para reativar nosso fluxo de caixa. O tempo é o nosso ouro neste momento.
📆 Projeção de fechamento: R$ 308.328,78
🗓️ Dias restantes: 14</t>
  </si>
  <si>
    <t>Atualização Comercial – JUNHO 2026
🔍 *RESUMO*
✔️ Realizado: R$ 162.566,12
📅 Média/dia: R$ 10.160,38
🎫 Ticket médio: R$ 34,99
👥 Atend./dia: 292
🎯 *METAS (vs. OURO)*
Desempenho: 45.55%
Faltam: R$ 194.324,05
(Bronze: R$ 346.976,55 | Prata: R$ 351.933,36 | Ouro: R$ 356.890,17)
📉 *COMPARAÇÕES*
◀️ Média necessária p/ Ouro: R$ 14.948,00
(vs. atual: R$ 10.160,38)
◀️ Junho/2025: R$ 330.453,86
📈 Variação anual (prev.): -7.76%
💡 *INSIGHT ESTRATÉGICO*
Equipe, observamos que a maratona para atingir a Meta Ouro está exigindo um ritmo de largada de R$ 14.948 diários, e nosso passo atual de R$ 10.160 precisa de um gás extra. A projeção de fechamento de R$ 304.811 nos coloca abaixo do resultado do ano passado. Para reacelerar o motor, sugiro focarmos em duas frentes: 1) Uma blitz de reengajamento com foco em clientes inativos, utilizando ofertas exclusivas e comunicação personalizada via SMS ou e-mail; 2) Revisar nosso mix de produtos para identificar oportunidades de cross-selling e up-selling, incentivando o aumento do ticket médio em momentos estratégicos da jornada do cliente. Precisamos criar um efeito dominó positivo nas vendas dos próximos dias!
📆 Projeção de fechamento: R$ 304.811,47
🗓️ Dias restantes: 13</t>
  </si>
  <si>
    <t>Atualização Comercial – JUNHO 2026
🔍 *RESUMO*
✔️ Realizado: R$ 169.350,88
📅 Média/dia: R$ 9.961,82
🎫 Ticket médio: R$ 34,70
👥 Atend./dia: 289
🎯 *METAS (vs. OURO)*
Desempenho: 47.45%
Faltam: R$ 187.539,29
(Bronze: R$ 346.976,55 | Prata: R$ 351.933,36 | Ouro: R$ 356.890,17)
📉 *COMPARAÇÕES*
◀️ Média necessária p/ Ouro: R$ 15.628,27
(vs. atual: R$ 9.961,82)
◀️ Junho/2025: R$ 330.453,86
📈 Variação anual (prev.): -9.56%
💡 *INSIGHT ESTRATÉGICO*
A fotografia atual mostra um cenário onde a projeção de fechamento aponta para um desempenho abaixo do ano passado, e a meta Ouro exige uma aceleração significativa de quase 60% em relação à nossa média diária atual. Precisamos injetar um gás extra nas próximas semanas. Sugiro um "Sprint de Vendas" focado em alavancar o ticket médio e o volume de transações simultaneamente. Pense em estratégias de "compre junto com benefício extra" ou "leve mais, pague menos", comunicando claramente o valor para o cliente. Vamos tirar o pé do freio e acelerar rumo às metas!
📆 Projeção de fechamento: R$ 298.854,49
🗓️ Dias restantes: 12</t>
  </si>
  <si>
    <t>Atualização Comercial – JUNHO 2026
🔍 *RESUMO*
✔️ Realizado: R$ 177.714,28
📅 Média/dia: R$ 9.873,02
🎫 Ticket médio: R$ 34,62
👥 Atend./dia: 287
🎯 *METAS (vs. OURO)*
Desempenho: 49.80%
Faltam: R$ 179.175,89
(Bronze: R$ 346.976,55 | Prata: R$ 351.933,36 | Ouro: R$ 356.890,17)
📉 *COMPARAÇÕES*
◀️ Média necessária p/ Ouro: R$ 16.288,72
(vs. atual: R$ 9.873,02)
◀️ Junho/2025: R$ 330.453,86
📈 Variação anual (prev.): -10.37%
💡 *INSIGHT ESTRATÉGICO*
Diretoria, a nave comercial está navegando em águas calmas, mas a zona de mira para a Meta Ouro exige uma aceleração significativa. Estamos 49.80% do caminho, com uma média diária atual de R$ 9.873,02. No entanto, para cruzar a linha de chegada da Meta Ouro nos 11 dias restantes, precisamos elevar essa média para R$ 16.288,72 – um salto de aproximadamente 65%. A projeção de fechamento atual, R$ 296.190,47, nos deixa R$ 60.700 abaixo da Meta Bronze e 10.37% aquém do desempenho do ano passado.
Minha sugestão: vamos acionar o "modo turbo"! Proponho focarmos em **"Desafio de Vendas Incrementais"** para a equipe. Cada atendimento deve ter como objetivo a venda de um item complementar ou de maior valor. Precisamos também de uma **campanha agressiva de última hora para produtos de maior margem**, talvez com um pequeno incentivo para fechamento rápido ou combo especial. Em paralelo, vamos intensificar o **remarketing digital para nossa base de clientes inativos** com ofertas exclusivas para este final de mês. É hora de transformar a inércia em impulso e mostrar nossa força neste sprint final.
📆 Projeção de fechamento: R$ 296.190,47
🗓️ Dias restantes: 11</t>
  </si>
  <si>
    <t>Atualização Comercial – JUNHO 2026
🔍 *RESUMO*
✔️ Realizado: R$ 189.295,73
📅 Média/dia: R$ 9.962,93
🎫 Ticket médio: R$ 34,78
👥 Atend./dia: 288
🎯 *METAS (vs. OURO)*
Desempenho: 53.04%
Faltam: R$ 167.594,44
(Bronze: R$ 346.976,55 | Prata: R$ 351.933,36 | Ouro: R$ 356.890,17)
📉 *COMPARAÇÕES*
◀️ Média necessária p/ Ouro: R$ 16.759,44
(vs. atual: R$ 9.962,93)
◀️ Junho/2025: R$ 330.453,86
📈 Variação anual (prev.): -9.55%
💡 *INSIGHT ESTRATÉGICO*
A cada dia que passa, o GPS aponta para um destino mais distante da Meta Ouro. Estamos navegando em águas calmas, mas a correnteza nos leva para longe do nosso objetivo. A média diária necessária para atingirmos a meta saltou para R$ 16.759,44, um aumento significativo sobre nossa performance atual de R$ 9.962,93. Para virarmos esse jogo, precisamos de um "choque de ânimo" nas vendas. Sugiro focarmos em ações de **"impulsionamento tático"**: menus executivos com alta margem e apelo rápido, promoções relâmpago de "compre e ganhe" focadas em itens de maior valor agregado, e uma campanha agressiva de recuperação de clientes inativos com ofertas exclusivas. Precisamos que cada cliente que entre na loja sinta o "efecto dominó" positivo, incentivando compras adicionais e aumentando o ticket médio. Essa é a hora de uma ação cirúrgica e decisiva!
📆 Projeção de fechamento: R$ 298.887,99
🗓️ Dias restantes: 10</t>
  </si>
  <si>
    <t>Atualização Comercial – JUNHO 2026
🔍 *RESUMO*
✔️ Realizado: R$ 207.561,84
📅 Média/dia: R$ 10.378,09
🎫 Ticket médio: R$ 35,24
👥 Atend./dia: 296
🎯 *METAS (vs. OURO)*
Desempenho: 58.16%
Faltam: R$ 149.328,33
(Bronze: R$ 346.976,55 | Prata: R$ 351.933,36 | Ouro: R$ 356.890,17)
📉 *COMPARAÇÕES*
◀️ Média necessária p/ Ouro: R$ 16.592,04
(vs. atual: R$ 10.378,09)
◀️ Junho/2025: R$ 330.453,86
📈 Variação anual (prev.): -5.78%
💡 *INSIGHT ESTRATÉGICO*
Diretoria, a brasa da meta Ouro ainda está distante, exigindo um gás 60% maior que o nosso ritmo atual. Precisamos acender essa fogueira estratégica nos próximos 9 dias. A recomendação é focarmos em ações de "desempate" nas vendas: **promover um "Festival de Última Chamada" com ofertas agressivas em categorias de maior giro, atreladas a um voucher de desconto para a próxima compra, incentivando o ticket médio e a recompra.** Se os clientes atuais sentirem que estão fazendo um negócio imperdível e ganhando um bônus para o futuro, isso pode ser o impulso que falta. Vamos transformar a urgência em oportunidade!
📆 Projeção de fechamento: R$ 311.342,76
🗓️ Dias restantes: 9</t>
  </si>
  <si>
    <t>Atualização Comercial – JUNHO 2026
🔍 *RESUMO*
✔️ Realizado: R$ 217.560,52
📅 Média/dia: R$ 10.360,02
🎫 Ticket médio: R$ 35,37
👥 Atend./dia: 294
🎯 *METAS (vs. OURO)*
Desempenho: 60.96%
Faltam: R$ 139.329,65
(Bronze: R$ 346.976,55 | Prata: R$ 351.933,36 | Ouro: R$ 356.890,17)
📉 *COMPARAÇÕES*
◀️ Média necessária p/ Ouro: R$ 17.416,21
(vs. atual: R$ 10.360,02)
◀️ Junho/2025: R$ 330.453,86
📈 Variação anual (prev.): -5.95%
💡 *INSIGHT ESTRATÉGICO*
Estamos no *sprint final* de Junho e os dados sinalizam um desafio intenso: precisamos de uma aceleração diária de 68% para tocar a Meta Ouro, saltando de R$ 10.3K para R$ 17.4K por dia. Com a projeção de fechamento ainda 5.95% abaixo do ano anterior, é vital *desbloquear o valor máximo de cada atendimento*. Nosso atual ticket médio de R$ 35,37 é a alavanca principal.
Minha sugestão para os próximos 8 dias é focar em uma estratégia de **"Cesta de Ouro"**:
1.  **Campanhas de Incentivo por Valor:** Implementar promoções agressivas do tipo "compre X e ganhe Y" ou "desconto progressivo para compras acima de Z", visando elevar o ticket médio para a faixa de R$ 55-R$ 60 por cliente.
2.  **Capacitação Expressa da Equipe:** Um reforço imediato no treinamento de cross-selling e up-selling, com foco em "vendas complementares de alto valor", e bonificação clara para a equipe que atingir os maiores tickets médios.
É o momento de transformar cada interação em uma oportunidade de valor superior e virar o jogo rumo ao Ouro.
📆 Projeção de fechamento: R$ 310.800,74
🗓️ Dias restantes: 8</t>
  </si>
  <si>
    <t>Atualização Comercial – JUNHO 2026
🔍 *RESUMO*
✔️ Realizado: R$ 225.422,89
📅 Média/dia: R$ 10.246,50
🎫 Ticket médio: R$ 35,10
👥 Atend./dia: 293
🎯 *METAS (vs. OURO)*
Desempenho: 63.16%
Faltam: R$ 131.467,28
(Bronze: R$ 346.976,55 | Prata: R$ 351.933,36 | Ouro: R$ 356.890,17)
📉 *COMPARAÇÕES*
◀️ Média necessária p/ Ouro: R$ 26.293,46
(vs. atual: R$ 10.246,50)
◀️ Junho/2025: R$ 330.453,86
📈 Variação anual (prev.): -6.98%
💡 *INSIGHT ESTRATÉGICO*
Faltam apenas 5 dias, e o desafio de alcançar a Meta Ouro é monumental, exigindo quase o triplo da nossa média diária atual. A projeção de fechamento, infelizmente, nos posiciona abaixo do desempenho do ano anterior, acendendo um alerta claro.
Não se trata mais de 'correr mais rápido', mas de 'saltar mais alto' em cada interação. Com 293 atendimentos diários, temos um fluxo constante de clientes. O gargalo não é o volume de pessoas, mas o *valor por transação*.
Precisamos de uma **estratégia de "explosão de valor"** nestes últimos dias. Foco total em elevar o Ticket Médio:
1.  **Combos de Última Hora:** Criar e comunicar agressivamente 2-3 kits de produtos complementares com alto valor percebido e boa margem (ex: "Upgrade Express: Leve o essencial + o Premium com X% de desconto").
2.  **Desafio de Cross-sell/Upsell "Mandatório":** Capacitação relâmpago para a equipe identificar e oferecer proativamente um item complementar ou uma versão premium em *cada* atendimento.
3.  **Incentivo de Performance Imediato:** Bônus rápido para vendedores que excederem o Ticket Médio diário estabelecido para os próximos 5 dias.
Nosso foco imediato deve ser **minimizar a diferença para Junho/2025** e garantir a Meta Bronze, custe o que custar. Cada venda que eleva o valor da cesta é uma vitória nesses dias finais.
📆 Projeção de fechamento: R$ 307.394,85
🗓️ Dias restantes: 5</t>
  </si>
  <si>
    <t>Atualização Comercial – JUNHO 2026
🔍 *RESUMO*
✔️ Realizado: R$ 251.851,97
📅 Média/dia: R$ 10.074,08
🎫 Ticket médio: R$ 35,25
👥 Atend./dia: 287
🎯 *METAS (vs. OURO)*
Desempenho: 70.57%
Faltam: R$ 105.038,20
(Bronze: R$ 346.976,55 | Prata: R$ 351.933,36 | Ouro: R$ 356.890,17)
📉 *COMPARAÇÕES*
◀️ Média necessária p/ Ouro: R$ 26.259,55
(vs. atual: R$ 10.074,08)
◀️ Junho/2025: R$ 330.453,86
📈 Variação anual (prev.): -8.54%
💡 *INSIGHT ESTRATÉGICO*
Com apenas 4 dias para o fechamento, nosso navio precisa de um propulsor extra. O gap para a Meta Ouro exige uma média diária 2.6x superior à atual, e a projeção de fechamento está aquém do ano anterior. Não podemos simplesmente "esperar". Precisamos de uma **virada tática imediata**:
1.  **Expansão da Cesta Média:** Implementar no PDV "combos-relâmpago" de produtos complementares com apelo irresistível e preço fechado, incentivando o cliente a levar mais. Foco em SKUs com maior margem ou giro.
2.  **Incentivo à Performance:** Criar um bônus extra por hora para a equipe que superar metas diárias de ticket médio ou volume em produtos específicos nesses 4 dias, gerando um "sprint" final de vendas.
3.  **Flash Sale "Última Chamada":** Enviar push notifications ou SMS para clientes com histórico de compra, oferecendo um desconto escalonado (ex: 10% no 1º item, 20% no 2º, 30% no 3º) para compras online com retirada na loja ou entrega rápida, ativando a urgência dos últimos dias.
O objetivo é buscar um "overperformance" significativo nestes dias finais, minimizando a distância para as metas e revertendo a tendência negativa anual.
📆 Projeção de fechamento: R$ 302.222,36
🗓️ Dias restantes: 4</t>
  </si>
  <si>
    <t>Atualização Comercial – JUNHO 2026
🔍 *RESUMO*
✔️ Realizado: R$ 264.838,43
📅 Média/dia: R$ 10.186,09
🎫 Ticket médio: R$ 35,61
👥 Atend./dia: 288
🎯 *METAS (vs. OURO)*
Desempenho: 74.21%
Faltam: R$ 92.051,74
(Bronze: R$ 346.976,55 | Prata: R$ 351.933,36 | Ouro: R$ 356.890,17)
📉 *COMPARAÇÕES*
◀️ Média necessária p/ Ouro: R$ 30.683,91
(vs. atual: R$ 10.186,09)
◀️ Junho/2025: R$ 330.453,86
📈 Variação anual (prev.): -7.53%
💡 *INSIGHT ESTRATÉGICO*
Entramos na reta final de Junho com um desafio de navegação considerável. A média diária necessária para atingir a meta Ouro é quase o triplo da nossa performance atual (R$ 30.683,91 vs R$ 10.186,09), indicando que a conquista das metas mais ambiciosas é praticamente inviável nos 3 dias restantes. Mais preocupante, a projeção de fechamento aponta para um declínio de 7.53% em relação a Junho/2025.
Para esta *última milha*, a estratégia deve ser de *contenção e otimização*: Focar intensamente em converter cada um dos 288 atendimentos diários com *upsell e cross-sell cirúrgicos*. Precisamos elevar o ticket médio atual de R$ 35,61 ao máximo, priorizando vendas de maior margem ou combos promocionais de última hora para escoar estoque. O objetivo agora é *ancorar o melhor resultado possível* para o mês, minimizando o gap, em vez de perseguir metas inatingíveis.
Este cenário exige, contudo, uma profunda revisão estratégica para Julho. Urge analisarmos as causas da desaceleração YoY e desenhar um plano de recuperação robusto, com foco em atração, conversão e fidelização, para garantir que o próximo mês seja de virada e crescimento.
📆 Projeção de fechamento: R$ 305.582,80
🗓️ Dias restantes: 3</t>
  </si>
  <si>
    <t>Atualização Comercial – JUNHO 2026
🔍 *RESUMO*
✔️ Realizado: R$ 277.484,78
📅 Média/dia: R$ 10.277,21
🎫 Ticket médio: R$ 35,61
👥 Atend./dia: 290
🎯 *METAS (vs. OURO)*
Desempenho: 77.75%
Faltam: R$ 79.405,39
(Bronze: R$ 346.976,55 | Prata: R$ 351.933,36 | Ouro: R$ 356.890,17)
📉 *COMPARAÇÕES*
◀️ Média necessária p/ Ouro: R$ 39.702,70
(vs. atual: R$ 10.277,21)
◀️ Junho/2025: R$ 330.453,86
📈 Variação anual (prev.): -6.70%
💡 *INSIGHT ESTRATÉGICO*
O "sprint final" de Junho nos confronta com uma realidade desafiadora. A média diária necessária para o Ouro (quase 4x nossa performance atual) indica que essa meta, nos próximos 2 dias, está fora de alcance. Mais preocupante ainda, a projeção de fechamento de R$ 308.316,42 nos deixaria aquém até mesmo da Meta Bronze e 6.70% abaixo do resultado de Junho/2025. Isso acende um **alerta vermelho** claro sobre a performance do mês.
Nossa estratégia para estas últimas 48 horas deve ser uma **manobra tática de resgate**, focada em maximizar a receita e mitigar perdas, principalmente em relação à Meta Bronze e ao ano anterior. Sugiro uma ativação relâmpago com ênfase em:
1.  **Explosão do Ticket Médio:** Com um ticket de R$ 35,61 e 290 atendimentos/dia, temos potencial. Implementar uma "blitz de valor agregado": ofertas de combos pré-definidos com desconto progressivo (ex: "Leve 3 Pague 2" em categorias selecionadas, ou "Ganhe X% OFF em seu 2º/3º item"), ou programas de "upgrade" no checkout.
2.  **Push de Produtos Premium:** Focar nos 2-3 itens de maior margem ou valor que, com um empurrão concentrado, podem significar um salto maior no faturamento. Treinamento rápido da equipe para oferecer estes produtos proativamente.
3.  **Ações de Última Chamada:** Disparar mensagens segmentadas para clientes que visitaram a loja nos últimos 7 dias mas não compraram, com um incentivo de "última chance" válido apenas para hoje/amanhã.
Precisamos de uma injeção de urgência e foco para reverter a tendência negativa e fechar Junho com a menor lacuna possível, usando estes dois dias para construir um momentum para Julho.
📆 Projeção de fechamento: R$ 308.316,42
🗓️ Dias restantes: 2</t>
  </si>
  <si>
    <t>Atualização Comercial – JUNHO 2026
🔍 *RESUMO*
✔️ Realizado: R$ 289.245,16
📅 Média/dia: R$ 10.330,18
🎫 Ticket médio: R$ 35,80
👥 Atend./dia: 290
🎯 *METAS (vs. OURO)*
Desempenho: 81.05%
Faltam: R$ 67.645,01
(Bronze: R$ 346.976,55 | Prata: R$ 351.933,36 | Ouro: R$ 356.890,17)
📉 *COMPARAÇÕES*
◀️ Média necessária p/ Ouro: R$ 67.645,01
(vs. atual: R$ 10.330,18)
◀️ Junho/2025: R$ 330.453,86
📈 Variação anual (prev.): -6.22%
💡 *INSIGHT ESTRATÉGICO*
Estamos no *último dia do tabuleiro*, e a distância para a Meta Ouro representa um *salto quântico* quase inatingível para um único dia (R$ 67.645,01 versus uma média de R$ 10.330,18). A projeção de fechamento abaixo do ano anterior é um *sinal claro de alerta* para a performance de Junho, indicando que este mês fecha com um passivo importante.
Para este *grand finale* do mês, nossa estratégia deve ser de *maximização absoluta* de cada interação e valor, focando em:
1.  **Aceleração no Ponto de Venda:** Mobilizar a equipe para um *foco cirúrgico* em pacotes de produtos, upsell agressivo e cross-sell complementar, com metas diárias por vendedor para o aumento do ticket médio.
2.  **Campanha "Última Chance":** Uma comunicação direta e urgente (via WhatsApp/SMS para base de clientes ou mídias sociais) com ofertas de curta duração (poucas horas) em produtos de alto giro ou com margens estratégicas para impulsionar o volume.
3.  **Gestão Ativa de Estoque:** Priorizar a venda de itens com maior margem ou que precisam ser girados, incentivando a equipe com incentivos específicos para estes produtos no dia.
Olhando para a projeção negativa versus o ano anterior, o fechamento de Junho se torna um *laboratório crucial*. É imperativo que amanhã mesmo iniciemos um *raio-X detalhado* das causas desta performance, para que JULHO não apenas reverta essa tendência, mas estabeleça um novo patamar de crescimento, explorando as lacunas e oportunidades reveladas neste mês.
📆 Projeção de fechamento: R$ 309.905,53
🗓️ Dias restantes: 1</t>
  </si>
  <si>
    <t>Atualização Comercial – JUNHO 2026
🔍 *RESUMO*
✔️ Realizado: R$ 302.565,27
📅 Média/dia: R$ 10.433,29
🎫 Ticket médio: R$ 36,17
👥 Atend./dia: 290
🎯 *METAS (vs. OURO)*
Desempenho: 84.78%
Faltam: R$ 54.324,90
(Bronze: R$ 346.976,55 | Prata: R$ 351.933,36 | Ouro: R$ 356.890,17)
📉 *COMPARAÇÕES*
◀️ Média necessária p/ Ouro: R$ 0,00
(vs. atual: R$ 10.433,29)
◀️ Junho/2025: R$ 330.453,86
📈 Variação anual (prev.): -5.28%
💡 *INSIGHT ESTRATÉGICO*
Com o fechamento de Junho, confirmamos que o mês ficou aquém de todas as nossas expectativas, com R$ 302.565,27. Este valor é significativamente inferior à Meta Bronze (R$ 346.976,55) e, mais crítico, **resulta numa queda real de -8.44% em relação a Junho/2025** (R$ 330.453,86), superando a projeção negativa inicial.
A diferença de mais de R$ 10 mil entre o realizado final e a projeção de fechamento (R$ 312.998,56) indica que perdemos tração nos últimos dias, e o baixo ticket médio (R$ 36,17), mesmo com 290 atendimentos/dia, aponta para uma falha em maximizar o valor de cada interação. Isso não é apenas um sinal de alerta, mas um chamado à ação imediata para o próximo ciclo.
Minha recomendação é urgente:
1.  **Reunião de Análise Profunda (Post-Mortem):** Agendar prioritariamente uma reunião de diretoria com os heads de vendas e marketing para uma autópsia completa dos dados de Junho: investigar performance por categoria, loja, vendedor e eficácia das promoções.
2.  **Plano de Ataque para Ticket Médio e Conversão (Julho):** Desenvolver e implementar com urgência estratégias para elevação do ticket médio (e.g., combos, upsell de produtos complementares) e otimização da taxa de conversão, apoiado por treinamento intensivo da equipe.
3.  **Otimização de Portfólio e Ofertas:** Reavaliar a atratividade do nosso mix de produtos e campanhas promocionais para Julho, garantindo que as ofertas impulsionem não apenas o volume de vendas, mas também o valor por transação.
O objetivo é transformar este diagnóstico crítico em um plano de recuperação robusto e acelerar resultados já em Julho.
📆 Projeção de fechamento: R$ 312.998,56
🗓️ Dias restantes: 0</t>
  </si>
  <si>
    <t>Atualização Comercial – JUNHO 2026
🔍 *RESUMO*
✔️ Realizado: R$ 313.398,32
📅 Média/dia: R$ 10.446,61
🎫 Ticket médio: R$ 36,31
👥 Atend./dia: 289
🎯 *METAS (vs. OURO)*
Desempenho: 87.81%
Faltam: R$ 43.491,85
(Bronze: R$ 346.976,55 | Prata: R$ 351.933,36 | Ouro: R$ 356.890,17)
📉 *COMPARAÇÕES*
◀️ Média necessária p/ Ouro: R$ 0,00
(vs. atual: R$ 10.446,61)
◀️ Junho/2025: R$ 330.453,86
📈 Variação anual (prev.): -5.16%
💡 *INSIGHT ESTRATÉGICO*
Junho se encerra e, como os dados revelam, ficamos 12.19% abaixo da Meta Ouro, e, mais crítico, 5.16% aquém do desempenho de Junho/2025. Este resultado aponta para a necessidade de uma 'análise forense' aprofundada para entender as raízes do déficit.
Com um Ticket Médio de R$36,31 e 289 atendimentos diários, o desafio pode não estar no volume de tráfego, mas sim na *eficácia da conversão* e na *otimização do valor* por cliente.
Para Julho, é imperativo acionarmos um "modo de recalibragem":
1.  **Diagnóstico Urgente:** Mapear os fatores externos (mercado, concorrência) e internos (performance da equipe, mix de produtos) que impactaram Junho.
2.  **Estratégia de Valor por Cliente:** Implementar táticas de up-selling e cross-selling mais assertivas, com foco em combos e ofertas que elevem o ticket médio de forma sustentável.
3.  **Inovação em Ações Comerciais:** Desenvolver campanhas focadas em impulsionar o volume e a margem, com incentivos claros para a equipe.
Este é o momento de transformar o aprendizado de Junho em um *trampolim* para um Julho de recuperação e forte superação.
📆 Projeção de fechamento: R$ 313.398,32
🗓️ Dias restantes: 0</t>
  </si>
  <si>
    <t>Atualização Comercial – JULHO 2026
🔍 *RESUMO*
✔️ Realizado: R$ 9.723,08
📅 Média/dia: R$ 9.723,08
🎫 Ticket médio: R$ 35,75
👥 Atend./dia: 273
🎯 *METAS (vs. OURO)*
Desempenho: 3.02%
Faltam: R$ 311.861,21
(Bronze: R$ 312.651,39 | Prata: R$ 317.117,84 | Ouro: R$ 321.584,29)
📉 *COMPARAÇÕES*
◀️ Média necessária p/ Ouro: R$ 10.753,83
(vs. atual: R$ 9.723,08)
◀️ Julho/2025: R$ 297.763,23
📈 Variação anual (prev.): +1.23%
💡 *INSIGHT ESTRATÉGICO*
Diretoria, iniciamos Julho com um bom volume de atendimentos (273), mas nossa primeira leitura aponta um desafio claro: estamos R$ 1.030,75 abaixo da média diária para o Ouro. É como o lançamento de um foguete; os primeiros dias são cruciais para ajustar a rota e garantir a altitude desejada.
Para elevar nossa trajetória e superar a projeção atual (que está abaixo da Meta Bronze), proponho duas alavancas primárias a serem acionadas imediatamente:
1.  **Otimizar o Ticket Médio:** Com R$ 35,75, há espaço significativo. Lancemos um "Desafio do Item Adicional" para a equipe de vendas, incentivando ativamente a inclusão de um segundo produto ou serviço de valor complementar em cada transação, com foco em produtos de maior margem.
2.  **Calibrar o Fluxo de Clientes Qualificados:** Realizar uma micro-campanha de 'Boas-Vindas de Julho' segmentada para nossa base de clientes mais engajados (com base no histórico de compras dos últimos 3 meses), buscando garantir um fluxo constante de atendimentos com alto potencial de conversão logo no início do mês.
Assim, fixamos a base para uma ascensão consistente rumo ao Ouro.
📆 Projeção de fechamento: R$ 301.415,48
🗓️ Dias restantes: 29</t>
  </si>
  <si>
    <t>Atualização Comercial – JULHO 2026
🔍 *RESUMO*
✔️ Realizado: R$ 20.765,07
📅 Média/dia: R$ 10.382,53
🎫 Ticket médio: R$ 36,56
👥 Atend./dia: 285
🎯 *METAS (vs. OURO)*
Desempenho: 6.46%
Faltam: R$ 300.819,22
(Bronze: R$ 312.651,39 | Prata: R$ 317.117,84 | Ouro: R$ 321.584,29)
📉 *COMPARAÇÕES*
◀️ Média necessária p/ Ouro: R$ 10.743,54
(vs. atual: R$ 10.382,53)
◀️ Julho/2025: R$ 297.763,23
📈 Variação anual (prev.): +8.09%
💡 *INSIGHT ESTRATÉGICO*
Julho começou com um *impulso notável*! A projeção nos coloca firmemente acima da Meta Ouro e com um crescimento robusto de +8.09% vs. ano anterior. É um lançamento de mês para aplaudir, estabelecendo uma *pista de decolagem* excelente. Embora a média diária necessária para Ouro seja ligeiramente superior à atual, a projeção já absorve esse pequeno delta. Para *solidificar* e até *ampliar* essa vantagem inicial, o foco deve ser na *intensificação do valor por atendimento*. Com um volume diário de 285 clientes, temos uma mina de ouro em potencial em cada interação. A recomendação é otimizar a conversão e o valor agregado: vamos impulsionar *kits de produtos*, *combos inteligentes* ou ofertas de *upgrade*. Não só para cobrir a margem diária, mas para transformar esta projeção otimista em um resultado ainda mais expressivo. Vamos garantir que o ritmo de crescimento se mantenha acelerado!
📆 Projeção de fechamento: R$ 321.858,59
🗓️ Dias restantes: 28</t>
  </si>
  <si>
    <t>Atualização Comercial – JULHO 2026
🔍 *RESUMO*
✔️ Realizado: R$ 30.809,17
📅 Média/dia: R$ 10.269,72
🎫 Ticket médio: R$ 36,46
👥 Atend./dia: 282
🎯 *METAS (vs. OURO)*
Desempenho: 9.58%
Faltam: R$ 290.775,12
(Bronze: R$ 312.651,39 | Prata: R$ 317.117,84 | Ouro: R$ 321.584,29)
📉 *COMPARAÇÕES*
◀️ Média necessária p/ Ouro: R$ 10.769,45
(vs. atual: R$ 10.269,72)
◀️ Julho/2025: R$ 297.763,23
📈 Variação anual (prev.): +6.92%
💡 *INSIGHT ESTRATÉGICO*
O mês de julho começou com um ritmo promissor, com nossa projeção apontando para um fechamento acima das metas Bronze e Prata, e um crescimento saudável de quase 7% sobre o ano anterior. Estamos em excelente trajetória! No entanto, para alcançar a cobiçada meta Ouro, precisamos de um *ajuste fino estratégico*. A diferença entre nossa média diária atual e a necessária para o Ouro é de apenas R$ 499,73 por dia nos próximos 27 dias. Minha recomendação é focar em ações táticas que elevem ligeiramente o *ticket médio*, como a criação e o push estratégico de combos de produtos com margem atrativa ou um incentivo enfático ao upsell/cross-sell, especialmente em produtos complementares. Cada 'pequena' venda adicional que eleve o valor do carrinho será um passo gigante para garantir o Ouro. Vamos mapear os produtos que podem gerar esse incremento e capacitar a equipe para essa "caça" aos R$ 499 diários.
📆 Projeção de fechamento: R$ 318.361,42
🗓️ Dias restantes: 27</t>
  </si>
  <si>
    <t>Atualização Comercial – JULHO 2026
🔍 *RESUMO*
✔️ Realizado: R$ 46.197,83
📅 Média/dia: R$ 11.549,46
🎫 Ticket médio: R$ 36,75
👥 Atend./dia: 316
🎯 *METAS (vs. OURO)*
Desempenho: 14.37%
Faltam: R$ 275.386,46
(Bronze: R$ 312.651,39 | Prata: R$ 317.117,84 | Ouro: R$ 321.584,29)
📉 *COMPARAÇÕES*
◀️ Média necessária p/ Ouro: R$ 10.591,79
(vs. atual: R$ 11.549,46)
◀️ Julho/2025: R$ 297.763,23
📈 Variação anual (prev.): +20.24%
💡 *INSIGHT ESTRATÉGICO*
A largada de Julho foi espetacular! Nossa média diária está confortável acima do ritmo necessário para a Meta Ouro, com uma projeção que nos coloca bem além, prometendo um recorde histórico (+20.24% vs. Jul/2025). Este é o momento ideal para capitalizar o impulso. Recomendo um push estratégico focado no *ticket médio*: equipes treinadas em cross-selling inteligente ou pacotes de valor agregado para maximizar cada um dos 316 atendimentos diários. O objetivo é não apenas atingir a projeção, mas superá-la, consolidando Julho como um marco de performance.
📆 Projeção de fechamento: R$ 358.033,18
🗓️ Dias restantes: 26</t>
  </si>
  <si>
    <t>Atualização Comercial – JULHO 2026
🔍 *RESUMO*
✔️ Realizado: R$ 61.154,20
📅 Média/dia: R$ 12.230,84
🎫 Ticket médio: R$ 39,40
👥 Atend./dia: 312
🎯 *METAS (vs. OURO)*
Desempenho: 19.02%
Faltam: R$ 260.430,09
(Bronze: R$ 312.651,39 | Prata: R$ 317.117,84 | Ouro: R$ 321.584,29)
📉 *COMPARAÇÕES*
◀️ Média necessária p/ Ouro: R$ 10.417,20
(vs. atual: R$ 12.230,84)
◀️ Julho/2025: R$ 297.763,23
📈 Variação anual (prev.): +27.33%
💡 *INSIGHT ESTRATÉGICO*
Julho está decolando com uma força impressionante! Nossa média diária atual (R$ 12.230,84) não só supera com folga a necessária para atingir a meta Ouro (R$ 10.417,20), como a projeção de fechamento de R$ 379.156,04 nos coloca em rota para um crescimento de +27.33% sobre o ano anterior – um verdadeiro salto. Estamos construindo um excelente alicerce para um mês histórico.
Para capitalizar essa largada estratégica e pavimentar o caminho para um Julho ainda mais glorioso:
1.  **Transformar Fluxo em Valor:** Com 312 atendimentos diários e um Ticket Médio de R$ 39,40, o próximo patamar está em otimizar o valor de cada interação. Podemos testar "Ofertas Progressivas" (ex: "Leve 2 e ganhe X% no 3º item") ou incentivar a venda de "Pacotes de Valor" que agrupem produtos complementares, elevando o TM e a percepção de benefício do cliente.
2.  **Mapear o DNA do Sucesso:** Quais produtos ou categorias estão puxando essa performance inicial? Realizar uma análise rápida dos "produtos estrela" dos primeiros dias pode nos dar inteligência para concentrar esforços de merchandising, estoque e comunicação, garantindo que o brilho deles se irradie por todo o mês.
3.  **Preparação para o Sprint Final:** Já que estamos numa posição confortável, podemos antecipar a criação de micro-campanhas de engajamento para a última quinzena. Pense em "desafios" para a equipe de vendas ou "bônus surpresa" para clientes, mantendo a energia alta e garantindo que não haja desaceleração na reta final.
📆 Projeção de fechamento: R$ 379.156,04
🗓️ Dias restantes: 25</t>
  </si>
  <si>
    <t>Atualização Comercial – JULHO 2026
🔍 *RESUMO*
✔️ Realizado: R$ 69.694,16
📅 Média/dia: R$ 11.615,69
🎫 Ticket médio: R$ 37,75
👥 Atend./dia: 309
🎯 *METAS (vs. OURO)*
Desempenho: 21.67%
Faltam: R$ 251.890,13
(Bronze: R$ 312.651,39 | Prata: R$ 317.117,84 | Ouro: R$ 321.584,29)
📉 *COMPARAÇÕES*
◀️ Média necessária p/ Ouro: R$ 10.495,42
(vs. atual: R$ 11.615,69)
◀️ Julho/2025: R$ 297.763,23
📈 Variação anual (prev.): +20.93%
💡 *INSIGHT ESTRATÉGICO*
Estamos presenciando um *lançamento de mês espetacular*! Com a média diária atual (R$ 11.615,69) *superando com folga* a necessária para atingir a Meta Ouro (R$ 10.495,42), estamos construindo uma base sólida para um Julho recorde. A projeção de fechamento em R$ 360.086,49 não só garante o Ouro, mas aponta para um crescimento impressionante de +20.93% sobre o ano anterior. Para não apenas bater, mas *pulverizar* essa projeção, sugiro um foco tático na otimização do Ticket Médio. Com uma média de 309 atendimentos diários, um pequeno acréscimo de 10% no TM (levando-o a R$ 41,52) poderia impulsionar nossa média diária para R$ 12.835,68, ampliando significativamente o fechamento. Vamos capitalizar esse excelente momento e transformar cada interação em valor maximizado.
📆 Projeção de fechamento: R$ 360.086,49
🗓️ Dias restantes: 24</t>
  </si>
  <si>
    <t>Atualização Comercial – JULHO 2026
🔍 *RESUMO*
✔️ Realizado: R$ 86.471,52
📅 Média/dia: R$ 10.808,94
🎫 Ticket médio: R$ 36,61
👥 Atend./dia: 296
🎯 *METAS (vs. OURO)*
Desempenho: 26.89%
Faltam: R$ 235.112,77
(Bronze: R$ 312.651,39 | Prata: R$ 317.117,84 | Ouro: R$ 321.584,29)
📉 *COMPARAÇÕES*
◀️ Média necessária p/ Ouro: R$ 10.686,94
(vs. atual: R$ 10.808,94)
◀️ Julho/2025: R$ 297.763,23
📈 Variação anual (prev.): +12.53%
💡 *INSIGHT ESTRATÉGICO*
Estamos com o vento a nosso favor neste início de Julho! Nossa média diária atual está superando o ritmo necessário para cravar a Meta Ouro, e a projeção de fechamento já nos coloca confortavelmente acima dela, com um impressionante crescimento de +12.53% em relação a Julho/2025. A máquina está rodando bem, e temos uma excelente janela para ir além.
Este é o momento de capitalizar a vantagem, não apenas de atingir, mas de **superar nossa própria projeção**. Para transformar essa performance sólida em um mês memorável, recomendo:
1.  **Otimização do Ticket Médio:** Lançar um desafio interno focado em 'upselling inteligente' ou 'combos de valor' para cada atendimento, elevando ainda mais o TM sem comprometer a experiência do cliente.
2.  **Reforço em Produtos/Categorias de Alto Desempenho:** Analisar rapidamente quais produtos ou linhas estão puxando o resultado inicial e investir em micro-campanhas ou destaque visual para eles, maximizando seu potencial.
3.  **Engajamento 'Extra-Mile':** Criar um "Sprint de Excelência" nas próximas semanas, com foco em reconhecimento por contribuições que elevem a projeção, fomentando a ambição do time.
Vamos transformar essa excelente largada em uma chegada espetacular, redefinindo o patamar para Julho!
📆 Projeção de fechamento: R$ 335.077,14
🗓️ Dias restantes: 22</t>
  </si>
  <si>
    <t>Atualização Comercial – JULHO 2026
🔍 *RESUMO*
✔️ Realizado: R$ 94.810,29
📅 Média/dia: R$ 10.534,48
🎫 Ticket médio: R$ 36,33
👥 Atend./dia: 291
🎯 *METAS (vs. OURO)*
Desempenho: 29.48%
Faltam: R$ 226.774,00
(Bronze: R$ 312.651,39 | Prata: R$ 317.117,84 | Ouro: R$ 321.584,29)
📉 *COMPARAÇÕES*
◀️ Média necessária p/ Ouro: R$ 10.798,76
(vs. atual: R$ 10.534,48)
◀️ Julho/2025: R$ 297.763,23
📈 Variação anual (prev.): +9.67%
💡 *INSIGHT ESTRATÉGICO*
Um excelente início de mês! Nossa projeção para Julho já supera a Meta Ouro, e estamos com um crescimento notável de quase 10% sobre o ano passado. É um cenário de descolagem perfeita, onde o controle de voo está em nossas mãos. Para solidificar e até superar essa projeção, a diferença entre a média diária atual e a necessária para o Ouro é mínima (apenas R$ 264,28/dia). Não precisamos de guinadas bruscas, mas de uma "calibragem fina": recomendo focar em incentivos estratégicos para um pequeno aumento no Ticket Médio (ex: upsell de itens complementares de maior valor) e em ações rápidas de engajamento para converter mais atendimentos. Pequenos ajustes agora farão uma grande diferença no fechamento, transformando um ótimo resultado em um marco histórico.
📆 Projeção de fechamento: R$ 326.568,78
🗓️ Dias restantes: 21</t>
  </si>
  <si>
    <t>Atualização Comercial – JULHO 2026
🔍 *RESUMO*
✔️ Realizado: R$ 105.119,00
📅 Média/dia: R$ 10.511,90
🎫 Ticket médio: R$ 36,27
👥 Atend./dia: 291
🎯 *METAS (vs. OURO)*
Desempenho: 32.69%
Faltam: R$ 216.465,29
(Bronze: R$ 312.651,39 | Prata: R$ 317.117,84 | Ouro: R$ 321.584,29)
📉 *COMPARAÇÕES*
◀️ Média necessária p/ Ouro: R$ 10.823,26
(vs. atual: R$ 10.511,90)
◀️ Julho/2025: R$ 297.763,23
📈 Variação anual (prev.): +9.44%
💡 *INSIGHT ESTRATÉGICO*
Estamos com uma *trajetória de crescimento robusta* (quase +10% vs. ano anterior) e uma projeção que *supera* nossa Meta Ouro! É um excelente sinal do nosso potencial. Para garantir que essa projeção se materialize e que o "Ouro" seja alcançado com segurança, precisamos de um *ajuste fino diário* de apenas R$ 311,36 em nossa média. Sugiro ativar uma campanha rápida de "produto complementar" ou "upgrade express" no ponto de venda, focada em itens de ticket baixo, para impulsionar essa pequena diferença no volume total. Um foco cirúrgico agora nos garante um fechamento de mês espetacular.
📆 Projeção de fechamento: R$ 325.868,90
🗓️ Dias restantes: 20</t>
  </si>
  <si>
    <t>Atualização Comercial – JULHO 2026
🔍 *RESUMO*
✔️ Realizado: R$ 116.221,50
📅 Média/dia: R$ 10.565,59
🎫 Ticket médio: R$ 35,97
👥 Atend./dia: 295
🎯 *METAS (vs. OURO)*
Desempenho: 36.14%
Faltam: R$ 205.362,79
(Bronze: R$ 312.651,39 | Prata: R$ 317.117,84 | Ouro: R$ 321.584,29)
📉 *COMPARAÇÕES*
◀️ Média necessária p/ Ouro: R$ 10.808,57
(vs. atual: R$ 10.565,59)
◀️ Julho/2025: R$ 297.763,23
📈 Variação anual (prev.): +10.00%
💡 *INSIGHT ESTRATÉGICO*
A projeção de fechamento acima da meta Ouro (+10% YoY) nos mostra que a rota está bem traçada. Estamos com um motor potente, gerando 295 atendimentos/dia! A diferença para alcançar a média diária necessária para o Ouro é mínima: apenas R$ 242,98 por dia. Isso significa que, com nosso volume de atendimentos, um aumento de *menos de R$ 0,85 no ticket médio por cliente* nos levaria ao topo da meta Ouro com folga. Vamos focar em calibrar essa máquina: use estratégias inteligentes de up-selling ou cross-selling em cada interação. Incentivar a adição de um item complementar ou uma versão premium pode ser o pequeno ajuste que garante o grande salto.
📆 Projeção de fechamento: R$ 327.533,32
🗓️ Dias restantes: 19</t>
  </si>
  <si>
    <t>Atualização Comercial – JULHO 2026
🔍 *RESUMO*
✔️ Realizado: R$ 126.638,08
📅 Média/dia: R$ 10.553,17
🎫 Ticket médio: R$ 36,35
👥 Atend./dia: 291
🎯 *METAS (vs. OURO)*
Desempenho: 39.38%
Faltam: R$ 194.946,21
(Bronze: R$ 312.651,39 | Prata: R$ 317.117,84 | Ouro: R$ 321.584,29)
📉 *COMPARAÇÕES*
◀️ Média necessária p/ Ouro: R$ 10.830,34
(vs. atual: R$ 10.553,17)
◀️ Julho/2025: R$ 297.763,23
📈 Variação anual (prev.): +9.87%
💡 *INSIGHT ESTRATÉGICO*
A projeção para Julho é bastante animadora, indicando que estamos no caminho certo para ultrapassar a Meta Ouro e registrar um crescimento anual robusto. No entanto, para que essa projeção se solidifique e não dependamos apenas do "vento a favor", é fundamental uma *calibração de rota* nos próximos 18 dias. Nossa média diária atual está apenas um sopro abaixo do ritmo necessário para garantir o Ouro. Sugiro direcionarmos o foco para a *intensificação da rentabilidade por atendimento*. Podemos explorar pequenas estratégias de "upselling invisível" ou "cross-selling estratégico", incentivando a equipe a adicionar um item complementar de baixo valor ou um serviço extra que eleve marginalmente o ticket médio sem quebrar o fluxo da venda principal. Essa precisão no último terço do mês converterá a projeção em um resultado concreto e vitorioso.
📆 Projeção de fechamento: R$ 327.148,37
🗓️ Dias restantes: 18</t>
  </si>
  <si>
    <t>Atualização Comercial – JULHO 2026
🔍 *RESUMO*
✔️ Realizado: R$ 134.843,83
📅 Média/dia: R$ 10.372,60
🎫 Ticket médio: R$ 36,25
👥 Atend./dia: 287
🎯 *METAS (vs. OURO)*
Desempenho: 41.93%
Faltam: R$ 186.740,46
(Bronze: R$ 312.651,39 | Prata: R$ 317.117,84 | Ouro: R$ 321.584,29)
📉 *COMPARAÇÕES*
◀️ Média necessária p/ Ouro: R$ 10.984,73
(vs. atual: R$ 10.372,60)
◀️ Julho/2025: R$ 297.763,23
📈 Variação anual (prev.): +7.99%
💡 *INSIGHT ESTRATÉGICO*
A projeção nos coloca no limiar da Meta Ouro, indicando um crescimento anual robusto de quase 8% — uma performance louvável! No entanto, estamos em uma *zona de "quase lá"*, com a projeção atual ligeiramente abaixo do objetivo máximo. O desafio é pequeno, mas crucial: precisamos elevar nossa média diária em apenas R$ 612 nos 17 dias restantes. Isso se traduz em um ganho de aproximadamente R$ 2,13 por atendimento! Este é o momento para uma *precisão de sniper* no *ticket médio*. Recomendo um foco intensivo em estratégias de valor adicionado: campanhas de "leve 2 pague 1" ou "compre e ganhe" em produtos de maior margem, ou um esforço de "up-selling" mais assertivo para produtos complementares. Cada pequena adição por cliente será o empurrão final para garantirmos a Meta Ouro.
📆 Projeção de fechamento: R$ 321.550,67
🗓️ Dias restantes: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</si>
</sst>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d/m/yyyy"/>
  </numFmts>
  <fonts count="10">
    <font>
      <sz val="10"/>
      <color rgb="FF000000"/>
      <name val="Arial"/>
      <scheme val="minor"/>
    </font>
    <font>
      <sz val="10"/>
      <color rgb="FF000000"/>
      <name val="Roboto"/>
    </font>
    <font>
      <sz val="10"/>
      <color theme="1"/>
      <name val="Roboto"/>
    </font>
    <font>
      <sz val="10"/>
      <color rgb="FF000000"/>
      <name val="Roboto"/>
    </font>
    <font>
      <sz val="10"/>
      <color theme="1"/>
      <name val="Roboto"/>
    </font>
    <font>
      <sz val="11"/>
      <color rgb="FF000000"/>
      <name val="&quot;Aptos Narrow&quot;"/>
    </font>
    <font>
      <sz val="11"/>
      <color theme="1"/>
      <name val="Roboto"/>
    </font>
    <font>
      <sz val="11"/>
      <color rgb="FF000000"/>
      <name val="Arial"/>
    </font>
    <font>
      <sz val="10"/>
      <color theme="1"/>
      <name val="Arial"/>
    </font>
    <font>
      <sz val="10"/>
      <color theme="1"/>
      <name val="Arial"/>
      <scheme val="minor"/>
    </font>
  </fonts>
  <fills count="3">
    <fill>
      <patternFill patternType="none"/>
    </fill>
    <fill>
      <patternFill patternType="gray125"/>
    </fill>
    <fill>
      <patternFill patternType="solid">
        <fgColor rgb="FFFAFAFA"/>
        <bgColor rgb="FFFAFAFA"/>
      </patternFill>
    </fill>
  </fills>
  <borders count="2">
    <border>
      <left/>
      <right/>
      <top/>
      <bottom/>
      <diagonal/>
    </border>
    <border>
      <left/>
      <right style="thin">
        <color rgb="FFF0F0F0"/>
      </right>
      <top style="thin">
        <color rgb="FFF0F0F0"/>
      </top>
      <bottom style="thin">
        <color rgb="FFF0F0F0"/>
      </bottom>
      <diagonal/>
    </border>
  </borders>
  <cellStyleXfs count="1">
    <xf numFmtId="0" fontId="0" fillId="0" borderId="0"/>
  </cellStyleXfs>
  <cellXfs count="25">
    <xf numFmtId="0" fontId="0" fillId="0" borderId="0" xfId="0"/>
    <xf numFmtId="49" fontId="1" fillId="0" borderId="0" xfId="0" applyNumberFormat="1" applyFont="1" applyAlignment="1">
      <alignment horizontal="right"/>
    </xf>
    <xf numFmtId="0" fontId="1" fillId="0" borderId="0" xfId="0" applyFont="1"/>
    <xf numFmtId="0" fontId="2" fillId="0" borderId="0" xfId="0" applyFont="1"/>
    <xf numFmtId="0" fontId="1" fillId="0" borderId="0" xfId="0" applyFont="1" applyAlignment="1">
      <alignment horizontal="right"/>
    </xf>
    <xf numFmtId="49" fontId="3" fillId="2" borderId="1" xfId="0" applyNumberFormat="1" applyFont="1" applyFill="1" applyBorder="1" applyAlignment="1">
      <alignment horizontal="right"/>
    </xf>
    <xf numFmtId="0" fontId="3" fillId="2" borderId="1" xfId="0" applyFont="1" applyFill="1" applyBorder="1" applyAlignment="1">
      <alignment horizontal="right"/>
    </xf>
    <xf numFmtId="0" fontId="4" fillId="0" borderId="0" xfId="0" applyFont="1"/>
    <xf numFmtId="49" fontId="2" fillId="0" borderId="0" xfId="0" applyNumberFormat="1" applyFont="1" applyAlignment="1">
      <alignment horizontal="right"/>
    </xf>
    <xf numFmtId="49" fontId="5" fillId="0" borderId="0" xfId="0" applyNumberFormat="1" applyFont="1" applyAlignment="1">
      <alignment horizontal="right"/>
    </xf>
    <xf numFmtId="0" fontId="5" fillId="0" borderId="0" xfId="0" applyFont="1" applyAlignment="1">
      <alignment horizontal="right"/>
    </xf>
    <xf numFmtId="0" fontId="6" fillId="0" borderId="0" xfId="0" applyFont="1"/>
    <xf numFmtId="49" fontId="7" fillId="0" borderId="0" xfId="0" applyNumberFormat="1" applyFont="1" applyAlignment="1">
      <alignment horizontal="right"/>
    </xf>
    <xf numFmtId="0" fontId="7" fillId="0" borderId="0" xfId="0" applyFont="1" applyAlignment="1">
      <alignment horizontal="right"/>
    </xf>
    <xf numFmtId="49" fontId="8" fillId="0" borderId="0" xfId="0" applyNumberFormat="1" applyFont="1" applyAlignment="1">
      <alignment horizontal="right"/>
    </xf>
    <xf numFmtId="0" fontId="5" fillId="0" borderId="0" xfId="0" applyFont="1" applyAlignment="1">
      <alignment horizontal="center"/>
    </xf>
    <xf numFmtId="0" fontId="7" fillId="0" borderId="0" xfId="0" applyFont="1" applyAlignment="1">
      <alignment horizontal="center"/>
    </xf>
    <xf numFmtId="0" fontId="9" fillId="0" borderId="0" xfId="0" applyFont="1"/>
    <xf numFmtId="4" fontId="7" fillId="0" borderId="0" xfId="0" applyNumberFormat="1" applyFont="1" applyAlignment="1">
      <alignment horizontal="right"/>
    </xf>
    <xf numFmtId="10" fontId="7" fillId="0" borderId="0" xfId="0" applyNumberFormat="1" applyFont="1" applyAlignment="1">
      <alignment horizontal="right"/>
    </xf>
    <xf numFmtId="164" fontId="9" fillId="0" borderId="0" xfId="0" applyNumberFormat="1" applyFont="1"/>
    <xf numFmtId="0" fontId="9" fillId="0" borderId="0" xfId="0" applyFont="1" applyAlignment="1">
      <alignment vertical="center"/>
    </xf>
    <xf numFmtId="0" fontId="9" fillId="0" borderId="0" xfId="0" applyFont="1" applyAlignment="1">
      <alignment wrapText="1"/>
    </xf>
    <xf numFmtId="14" fontId="9" fillId="0" borderId="0" xfId="0" applyNumberFormat="1" applyFont="1" applyAlignment="1">
      <alignment vertical="center"/>
    </xf>
    <xf numFmtId="165" fontId="9" fillId="0" borderId="0" xfId="0" applyNumberFormat="1"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topLeftCell="A373" workbookViewId="0">
      <selection activeCell="A379" sqref="A379:XFD379"/>
    </sheetView>
  </sheetViews>
  <sheetFormatPr defaultColWidth="12.5703125" defaultRowHeight="15.75" customHeight="1"/>
  <cols>
    <col min="1" max="1" width="17" customWidth="1"/>
    <col min="6" max="6" width="16.42578125" customWidth="1"/>
    <col min="9" max="9" width="16.5703125" customWidth="1"/>
  </cols>
  <sheetData>
    <row r="1" spans="1:26">
      <c r="A1" s="1" t="s">
        <v>0</v>
      </c>
      <c r="B1" s="2" t="s">
        <v>1</v>
      </c>
      <c r="C1" s="2" t="s">
        <v>2</v>
      </c>
      <c r="D1" s="2" t="s">
        <v>3</v>
      </c>
      <c r="E1" s="2" t="s">
        <v>4</v>
      </c>
      <c r="F1" s="2" t="s">
        <v>5</v>
      </c>
      <c r="G1" s="2" t="s">
        <v>6</v>
      </c>
      <c r="H1" s="2" t="s">
        <v>7</v>
      </c>
      <c r="I1" s="3" t="s">
        <v>8</v>
      </c>
      <c r="J1" s="3"/>
      <c r="K1" s="3"/>
      <c r="L1" s="3"/>
      <c r="M1" s="3"/>
      <c r="N1" s="3"/>
      <c r="O1" s="3"/>
      <c r="P1" s="3"/>
      <c r="Q1" s="3"/>
      <c r="R1" s="3"/>
      <c r="S1" s="3"/>
      <c r="T1" s="3"/>
      <c r="U1" s="3"/>
      <c r="V1" s="3"/>
      <c r="W1" s="3"/>
      <c r="X1" s="3"/>
      <c r="Y1" s="3"/>
      <c r="Z1" s="3"/>
    </row>
    <row r="2" spans="1:26">
      <c r="A2" s="1" t="s">
        <v>9</v>
      </c>
      <c r="B2" s="4">
        <v>262</v>
      </c>
      <c r="C2" s="4">
        <v>9004.17</v>
      </c>
      <c r="D2" s="4">
        <v>3</v>
      </c>
      <c r="E2" s="4">
        <v>180</v>
      </c>
      <c r="F2" s="4">
        <v>259</v>
      </c>
      <c r="G2" s="4">
        <v>8824.17</v>
      </c>
      <c r="H2" s="4">
        <v>34.07</v>
      </c>
      <c r="I2" s="3" t="str">
        <f t="shared" ref="I2:I256" si="0">TEXT(A2,"mm/yyyy")</f>
        <v>07/yyyy</v>
      </c>
      <c r="J2" s="3"/>
      <c r="K2" s="3"/>
      <c r="L2" s="3"/>
      <c r="M2" s="3"/>
      <c r="N2" s="3"/>
      <c r="O2" s="3"/>
      <c r="P2" s="3"/>
      <c r="Q2" s="3"/>
      <c r="R2" s="3"/>
      <c r="S2" s="3"/>
      <c r="T2" s="3"/>
      <c r="U2" s="3"/>
      <c r="V2" s="3"/>
      <c r="W2" s="3"/>
      <c r="X2" s="3"/>
      <c r="Y2" s="3"/>
      <c r="Z2" s="3"/>
    </row>
    <row r="3" spans="1:26">
      <c r="A3" s="1" t="s">
        <v>10</v>
      </c>
      <c r="B3" s="4">
        <v>248</v>
      </c>
      <c r="C3" s="4">
        <v>8270.34</v>
      </c>
      <c r="D3" s="4">
        <v>0</v>
      </c>
      <c r="E3" s="4">
        <v>0</v>
      </c>
      <c r="F3" s="4">
        <v>248</v>
      </c>
      <c r="G3" s="4">
        <v>8270.34</v>
      </c>
      <c r="H3" s="4">
        <v>33.35</v>
      </c>
      <c r="I3" s="3" t="str">
        <f t="shared" si="0"/>
        <v>07/yyyy</v>
      </c>
      <c r="J3" s="3"/>
      <c r="K3" s="3"/>
      <c r="L3" s="3"/>
      <c r="M3" s="3"/>
      <c r="N3" s="3"/>
      <c r="O3" s="3"/>
      <c r="P3" s="3"/>
      <c r="Q3" s="3"/>
      <c r="R3" s="3"/>
      <c r="S3" s="3"/>
      <c r="T3" s="3"/>
      <c r="U3" s="3"/>
      <c r="V3" s="3"/>
      <c r="W3" s="3"/>
      <c r="X3" s="3"/>
      <c r="Y3" s="3"/>
      <c r="Z3" s="3"/>
    </row>
    <row r="4" spans="1:26">
      <c r="A4" s="1" t="s">
        <v>11</v>
      </c>
      <c r="B4" s="4">
        <v>244</v>
      </c>
      <c r="C4" s="4">
        <v>7815.57</v>
      </c>
      <c r="D4" s="4">
        <v>7</v>
      </c>
      <c r="E4" s="4">
        <v>160.5</v>
      </c>
      <c r="F4" s="4">
        <v>237</v>
      </c>
      <c r="G4" s="4">
        <v>7655.07</v>
      </c>
      <c r="H4" s="4">
        <v>32.299999999999997</v>
      </c>
      <c r="I4" s="3" t="str">
        <f t="shared" si="0"/>
        <v>07/yyyy</v>
      </c>
      <c r="J4" s="3"/>
      <c r="K4" s="3"/>
      <c r="L4" s="3"/>
      <c r="M4" s="3"/>
      <c r="N4" s="3"/>
      <c r="O4" s="3"/>
      <c r="P4" s="3"/>
      <c r="Q4" s="3"/>
      <c r="R4" s="3"/>
      <c r="S4" s="3"/>
      <c r="T4" s="3"/>
      <c r="U4" s="3"/>
      <c r="V4" s="3"/>
      <c r="W4" s="3"/>
      <c r="X4" s="3"/>
      <c r="Y4" s="3"/>
      <c r="Z4" s="3"/>
    </row>
    <row r="5" spans="1:26">
      <c r="A5" s="1" t="s">
        <v>12</v>
      </c>
      <c r="B5" s="4">
        <v>248</v>
      </c>
      <c r="C5" s="4">
        <v>8732.06</v>
      </c>
      <c r="D5" s="4">
        <v>1</v>
      </c>
      <c r="E5" s="4">
        <v>69</v>
      </c>
      <c r="F5" s="4">
        <v>247</v>
      </c>
      <c r="G5" s="4">
        <v>8663.06</v>
      </c>
      <c r="H5" s="4">
        <v>35.07</v>
      </c>
      <c r="I5" s="3" t="str">
        <f t="shared" si="0"/>
        <v>07/yyyy</v>
      </c>
      <c r="J5" s="3"/>
      <c r="K5" s="3"/>
      <c r="L5" s="3"/>
      <c r="M5" s="3"/>
      <c r="N5" s="3"/>
      <c r="O5" s="3"/>
      <c r="P5" s="3"/>
      <c r="Q5" s="3"/>
      <c r="R5" s="3"/>
      <c r="S5" s="3"/>
      <c r="T5" s="3"/>
      <c r="U5" s="3"/>
      <c r="V5" s="3"/>
      <c r="W5" s="3"/>
      <c r="X5" s="3"/>
      <c r="Y5" s="3"/>
      <c r="Z5" s="3"/>
    </row>
    <row r="6" spans="1:26">
      <c r="A6" s="1" t="s">
        <v>13</v>
      </c>
      <c r="B6" s="4">
        <v>454</v>
      </c>
      <c r="C6" s="4">
        <v>16881.13</v>
      </c>
      <c r="D6" s="4">
        <v>10</v>
      </c>
      <c r="E6" s="4">
        <v>405.99</v>
      </c>
      <c r="F6" s="4">
        <v>444</v>
      </c>
      <c r="G6" s="4">
        <v>16475.14</v>
      </c>
      <c r="H6" s="4">
        <v>37.11</v>
      </c>
      <c r="I6" s="3" t="str">
        <f t="shared" si="0"/>
        <v>07/yyyy</v>
      </c>
      <c r="J6" s="3"/>
      <c r="K6" s="3"/>
      <c r="L6" s="3"/>
      <c r="M6" s="3"/>
      <c r="N6" s="3"/>
      <c r="O6" s="3"/>
      <c r="P6" s="3"/>
      <c r="Q6" s="3"/>
      <c r="R6" s="3"/>
      <c r="S6" s="3"/>
      <c r="T6" s="3"/>
      <c r="U6" s="3"/>
      <c r="V6" s="3"/>
      <c r="W6" s="3"/>
      <c r="X6" s="3"/>
      <c r="Y6" s="3"/>
      <c r="Z6" s="3"/>
    </row>
    <row r="7" spans="1:26">
      <c r="A7" s="1" t="s">
        <v>14</v>
      </c>
      <c r="B7" s="4">
        <v>219</v>
      </c>
      <c r="C7" s="4">
        <v>7850.19</v>
      </c>
      <c r="D7" s="4">
        <v>2</v>
      </c>
      <c r="E7" s="4">
        <v>85.5</v>
      </c>
      <c r="F7" s="4">
        <v>217</v>
      </c>
      <c r="G7" s="4">
        <v>7764.69</v>
      </c>
      <c r="H7" s="4">
        <v>35.78</v>
      </c>
      <c r="I7" s="3" t="str">
        <f t="shared" si="0"/>
        <v>07/yyyy</v>
      </c>
      <c r="J7" s="3"/>
      <c r="K7" s="3"/>
      <c r="L7" s="3"/>
      <c r="M7" s="3"/>
      <c r="N7" s="3"/>
      <c r="O7" s="3"/>
      <c r="P7" s="3"/>
      <c r="Q7" s="3"/>
      <c r="R7" s="3"/>
      <c r="S7" s="3"/>
      <c r="T7" s="3"/>
      <c r="U7" s="3"/>
      <c r="V7" s="3"/>
      <c r="W7" s="3"/>
      <c r="X7" s="3"/>
      <c r="Y7" s="3"/>
      <c r="Z7" s="3"/>
    </row>
    <row r="8" spans="1:26">
      <c r="A8" s="1" t="s">
        <v>15</v>
      </c>
      <c r="B8" s="4">
        <v>289</v>
      </c>
      <c r="C8" s="4">
        <v>10444.450000000001</v>
      </c>
      <c r="D8" s="4">
        <v>6</v>
      </c>
      <c r="E8" s="4">
        <v>112.49</v>
      </c>
      <c r="F8" s="4">
        <v>283</v>
      </c>
      <c r="G8" s="4">
        <v>10331.959999999999</v>
      </c>
      <c r="H8" s="4">
        <v>36.51</v>
      </c>
      <c r="I8" s="3" t="str">
        <f t="shared" si="0"/>
        <v>07/yyyy</v>
      </c>
      <c r="J8" s="3"/>
      <c r="K8" s="3"/>
      <c r="L8" s="3"/>
      <c r="M8" s="3"/>
      <c r="N8" s="3"/>
      <c r="O8" s="3"/>
      <c r="P8" s="3"/>
      <c r="Q8" s="3"/>
      <c r="R8" s="3"/>
      <c r="S8" s="3"/>
      <c r="T8" s="3"/>
      <c r="U8" s="3"/>
      <c r="V8" s="3"/>
      <c r="W8" s="3"/>
      <c r="X8" s="3"/>
      <c r="Y8" s="3"/>
      <c r="Z8" s="3"/>
    </row>
    <row r="9" spans="1:26">
      <c r="A9" s="1" t="s">
        <v>16</v>
      </c>
      <c r="B9" s="4">
        <v>275</v>
      </c>
      <c r="C9" s="4">
        <v>9020.69</v>
      </c>
      <c r="D9" s="4">
        <v>2</v>
      </c>
      <c r="E9" s="4">
        <v>214.49</v>
      </c>
      <c r="F9" s="4">
        <v>273</v>
      </c>
      <c r="G9" s="4">
        <v>8806.2000000000007</v>
      </c>
      <c r="H9" s="4">
        <v>32.26</v>
      </c>
      <c r="I9" s="3" t="str">
        <f t="shared" si="0"/>
        <v>07/yyyy</v>
      </c>
      <c r="J9" s="3"/>
      <c r="K9" s="3"/>
      <c r="L9" s="3"/>
      <c r="M9" s="3"/>
      <c r="N9" s="3"/>
      <c r="O9" s="3"/>
      <c r="P9" s="3"/>
      <c r="Q9" s="3"/>
      <c r="R9" s="3"/>
      <c r="S9" s="3"/>
      <c r="T9" s="3"/>
      <c r="U9" s="3"/>
      <c r="V9" s="3"/>
      <c r="W9" s="3"/>
      <c r="X9" s="3"/>
      <c r="Y9" s="3"/>
      <c r="Z9" s="3"/>
    </row>
    <row r="10" spans="1:26">
      <c r="A10" s="1" t="s">
        <v>17</v>
      </c>
      <c r="B10" s="4">
        <v>267</v>
      </c>
      <c r="C10" s="4">
        <v>8766.84</v>
      </c>
      <c r="D10" s="4">
        <v>0</v>
      </c>
      <c r="E10" s="4">
        <v>0</v>
      </c>
      <c r="F10" s="4">
        <v>267</v>
      </c>
      <c r="G10" s="4">
        <v>8766.84</v>
      </c>
      <c r="H10" s="4">
        <v>32.83</v>
      </c>
      <c r="I10" s="3" t="str">
        <f t="shared" si="0"/>
        <v>07/yyyy</v>
      </c>
      <c r="J10" s="3"/>
      <c r="K10" s="3"/>
      <c r="L10" s="3"/>
      <c r="M10" s="3"/>
      <c r="N10" s="3"/>
      <c r="O10" s="3"/>
      <c r="P10" s="3"/>
      <c r="Q10" s="3"/>
      <c r="R10" s="3"/>
      <c r="S10" s="3"/>
      <c r="T10" s="3"/>
      <c r="U10" s="3"/>
      <c r="V10" s="3"/>
      <c r="W10" s="3"/>
      <c r="X10" s="3"/>
      <c r="Y10" s="3"/>
      <c r="Z10" s="3"/>
    </row>
    <row r="11" spans="1:26">
      <c r="A11" s="1" t="s">
        <v>18</v>
      </c>
      <c r="B11" s="4">
        <v>263</v>
      </c>
      <c r="C11" s="4">
        <v>8608.56</v>
      </c>
      <c r="D11" s="4">
        <v>4</v>
      </c>
      <c r="E11" s="4">
        <v>218.53</v>
      </c>
      <c r="F11" s="4">
        <v>259</v>
      </c>
      <c r="G11" s="4">
        <v>8390.0300000000007</v>
      </c>
      <c r="H11" s="4">
        <v>32.39</v>
      </c>
      <c r="I11" s="3" t="str">
        <f t="shared" si="0"/>
        <v>07/yyyy</v>
      </c>
      <c r="J11" s="3"/>
      <c r="K11" s="3"/>
      <c r="L11" s="3"/>
      <c r="M11" s="3"/>
      <c r="N11" s="3"/>
      <c r="O11" s="3"/>
      <c r="P11" s="3"/>
      <c r="Q11" s="3"/>
      <c r="R11" s="3"/>
      <c r="S11" s="3"/>
      <c r="T11" s="3"/>
      <c r="U11" s="3"/>
      <c r="V11" s="3"/>
      <c r="W11" s="3"/>
      <c r="X11" s="3"/>
      <c r="Y11" s="3"/>
      <c r="Z11" s="3"/>
    </row>
    <row r="12" spans="1:26">
      <c r="A12" s="1" t="s">
        <v>19</v>
      </c>
      <c r="B12" s="4">
        <v>284</v>
      </c>
      <c r="C12" s="4">
        <v>11233.84</v>
      </c>
      <c r="D12" s="4">
        <v>6</v>
      </c>
      <c r="E12" s="4">
        <v>460</v>
      </c>
      <c r="F12" s="4">
        <v>278</v>
      </c>
      <c r="G12" s="4">
        <v>10773.84</v>
      </c>
      <c r="H12" s="4">
        <v>38.75</v>
      </c>
      <c r="I12" s="3" t="str">
        <f t="shared" si="0"/>
        <v>07/yyyy</v>
      </c>
      <c r="J12" s="3"/>
      <c r="K12" s="3"/>
      <c r="L12" s="3"/>
      <c r="M12" s="3"/>
      <c r="N12" s="3"/>
      <c r="O12" s="3"/>
      <c r="P12" s="3"/>
      <c r="Q12" s="3"/>
      <c r="R12" s="3"/>
      <c r="S12" s="3"/>
      <c r="T12" s="3"/>
      <c r="U12" s="3"/>
      <c r="V12" s="3"/>
      <c r="W12" s="3"/>
      <c r="X12" s="3"/>
      <c r="Y12" s="3"/>
      <c r="Z12" s="3"/>
    </row>
    <row r="13" spans="1:26">
      <c r="A13" s="1" t="s">
        <v>20</v>
      </c>
      <c r="B13" s="4">
        <v>409</v>
      </c>
      <c r="C13" s="4">
        <v>15657.23</v>
      </c>
      <c r="D13" s="4">
        <v>7</v>
      </c>
      <c r="E13" s="4">
        <v>433.98</v>
      </c>
      <c r="F13" s="4">
        <v>402</v>
      </c>
      <c r="G13" s="4">
        <v>15223.25</v>
      </c>
      <c r="H13" s="4">
        <v>37.869999999999997</v>
      </c>
      <c r="I13" s="3" t="str">
        <f t="shared" si="0"/>
        <v>07/yyyy</v>
      </c>
      <c r="J13" s="3"/>
      <c r="K13" s="3"/>
      <c r="L13" s="3"/>
      <c r="M13" s="3"/>
      <c r="N13" s="3"/>
      <c r="O13" s="3"/>
      <c r="P13" s="3"/>
      <c r="Q13" s="3"/>
      <c r="R13" s="3"/>
      <c r="S13" s="3"/>
      <c r="T13" s="3"/>
      <c r="U13" s="3"/>
      <c r="V13" s="3"/>
      <c r="W13" s="3"/>
      <c r="X13" s="3"/>
      <c r="Y13" s="3"/>
      <c r="Z13" s="3"/>
    </row>
    <row r="14" spans="1:26">
      <c r="A14" s="1" t="s">
        <v>21</v>
      </c>
      <c r="B14" s="4">
        <v>256</v>
      </c>
      <c r="C14" s="4">
        <v>10260.700000000001</v>
      </c>
      <c r="D14" s="4">
        <v>7</v>
      </c>
      <c r="E14" s="4">
        <v>411.99</v>
      </c>
      <c r="F14" s="4">
        <v>249</v>
      </c>
      <c r="G14" s="4">
        <v>9848.7099999999991</v>
      </c>
      <c r="H14" s="4">
        <v>39.549999999999997</v>
      </c>
      <c r="I14" s="3" t="str">
        <f t="shared" si="0"/>
        <v>07/yyyy</v>
      </c>
      <c r="J14" s="3"/>
      <c r="K14" s="3"/>
      <c r="L14" s="3"/>
      <c r="M14" s="3"/>
      <c r="N14" s="3"/>
      <c r="O14" s="3"/>
      <c r="P14" s="3"/>
      <c r="Q14" s="3"/>
      <c r="R14" s="3"/>
      <c r="S14" s="3"/>
      <c r="T14" s="3"/>
      <c r="U14" s="3"/>
      <c r="V14" s="3"/>
      <c r="W14" s="3"/>
      <c r="X14" s="3"/>
      <c r="Y14" s="3"/>
      <c r="Z14" s="3"/>
    </row>
    <row r="15" spans="1:26">
      <c r="A15" s="1" t="s">
        <v>22</v>
      </c>
      <c r="B15" s="4">
        <v>285</v>
      </c>
      <c r="C15" s="4">
        <v>9096.26</v>
      </c>
      <c r="D15" s="4">
        <v>7</v>
      </c>
      <c r="E15" s="4">
        <v>226.2</v>
      </c>
      <c r="F15" s="4">
        <v>278</v>
      </c>
      <c r="G15" s="4">
        <v>8870.06</v>
      </c>
      <c r="H15" s="4">
        <v>31.91</v>
      </c>
      <c r="I15" s="3" t="str">
        <f t="shared" si="0"/>
        <v>07/yyyy</v>
      </c>
      <c r="J15" s="3"/>
      <c r="K15" s="3"/>
      <c r="L15" s="3"/>
      <c r="M15" s="3"/>
      <c r="N15" s="3"/>
      <c r="O15" s="3"/>
      <c r="P15" s="3"/>
      <c r="Q15" s="3"/>
      <c r="R15" s="3"/>
      <c r="S15" s="3"/>
      <c r="T15" s="3"/>
      <c r="U15" s="3"/>
      <c r="V15" s="3"/>
      <c r="W15" s="3"/>
      <c r="X15" s="3"/>
      <c r="Y15" s="3"/>
      <c r="Z15" s="3"/>
    </row>
    <row r="16" spans="1:26">
      <c r="A16" s="1" t="s">
        <v>23</v>
      </c>
      <c r="B16" s="4">
        <v>260</v>
      </c>
      <c r="C16" s="4">
        <v>9322.67</v>
      </c>
      <c r="D16" s="4">
        <v>2</v>
      </c>
      <c r="E16" s="4">
        <v>51.5</v>
      </c>
      <c r="F16" s="4">
        <v>258</v>
      </c>
      <c r="G16" s="4">
        <v>9271.17</v>
      </c>
      <c r="H16" s="4">
        <v>35.93</v>
      </c>
      <c r="I16" s="3" t="str">
        <f t="shared" si="0"/>
        <v>07/yyyy</v>
      </c>
      <c r="J16" s="3"/>
      <c r="K16" s="3"/>
      <c r="L16" s="3"/>
      <c r="M16" s="3"/>
      <c r="N16" s="3"/>
      <c r="O16" s="3"/>
      <c r="P16" s="3"/>
      <c r="Q16" s="3"/>
      <c r="R16" s="3"/>
      <c r="S16" s="3"/>
      <c r="T16" s="3"/>
      <c r="U16" s="3"/>
      <c r="V16" s="3"/>
      <c r="W16" s="3"/>
      <c r="X16" s="3"/>
      <c r="Y16" s="3"/>
      <c r="Z16" s="3"/>
    </row>
    <row r="17" spans="1:26">
      <c r="A17" s="1" t="s">
        <v>24</v>
      </c>
      <c r="B17" s="4">
        <v>250</v>
      </c>
      <c r="C17" s="4">
        <v>6987.61</v>
      </c>
      <c r="D17" s="4">
        <v>5</v>
      </c>
      <c r="E17" s="4">
        <v>67.8</v>
      </c>
      <c r="F17" s="4">
        <v>245</v>
      </c>
      <c r="G17" s="4">
        <v>6919.81</v>
      </c>
      <c r="H17" s="4">
        <v>28.24</v>
      </c>
      <c r="I17" s="3" t="str">
        <f t="shared" si="0"/>
        <v>07/yyyy</v>
      </c>
      <c r="J17" s="3"/>
      <c r="K17" s="3"/>
      <c r="L17" s="3"/>
      <c r="M17" s="3"/>
      <c r="N17" s="3"/>
      <c r="O17" s="3"/>
      <c r="P17" s="3"/>
      <c r="Q17" s="3"/>
      <c r="R17" s="3"/>
      <c r="S17" s="3"/>
      <c r="T17" s="3"/>
      <c r="U17" s="3"/>
      <c r="V17" s="3"/>
      <c r="W17" s="3"/>
      <c r="X17" s="3"/>
      <c r="Y17" s="3"/>
      <c r="Z17" s="3"/>
    </row>
    <row r="18" spans="1:26">
      <c r="A18" s="1" t="s">
        <v>25</v>
      </c>
      <c r="B18" s="4">
        <v>267</v>
      </c>
      <c r="C18" s="4">
        <v>8724.73</v>
      </c>
      <c r="D18" s="4">
        <v>1</v>
      </c>
      <c r="E18" s="4">
        <v>50</v>
      </c>
      <c r="F18" s="4">
        <v>266</v>
      </c>
      <c r="G18" s="4">
        <v>8674.73</v>
      </c>
      <c r="H18" s="4">
        <v>32.61</v>
      </c>
      <c r="I18" s="3" t="str">
        <f t="shared" si="0"/>
        <v>07/yyyy</v>
      </c>
      <c r="J18" s="3"/>
      <c r="K18" s="3"/>
      <c r="L18" s="3"/>
      <c r="M18" s="3"/>
      <c r="N18" s="3"/>
      <c r="O18" s="3"/>
      <c r="P18" s="3"/>
      <c r="Q18" s="3"/>
      <c r="R18" s="3"/>
      <c r="S18" s="3"/>
      <c r="T18" s="3"/>
      <c r="U18" s="3"/>
      <c r="V18" s="3"/>
      <c r="W18" s="3"/>
      <c r="X18" s="3"/>
      <c r="Y18" s="3"/>
      <c r="Z18" s="3"/>
    </row>
    <row r="19" spans="1:26">
      <c r="A19" s="1" t="s">
        <v>26</v>
      </c>
      <c r="B19" s="4">
        <v>279</v>
      </c>
      <c r="C19" s="4">
        <v>10829.06</v>
      </c>
      <c r="D19" s="4">
        <v>3</v>
      </c>
      <c r="E19" s="4">
        <v>155.5</v>
      </c>
      <c r="F19" s="4">
        <v>276</v>
      </c>
      <c r="G19" s="4">
        <v>10673.56</v>
      </c>
      <c r="H19" s="4">
        <v>38.67</v>
      </c>
      <c r="I19" s="3" t="str">
        <f t="shared" si="0"/>
        <v>07/yyyy</v>
      </c>
      <c r="J19" s="3"/>
      <c r="K19" s="3"/>
      <c r="L19" s="3"/>
      <c r="M19" s="3"/>
      <c r="N19" s="3"/>
      <c r="O19" s="3"/>
      <c r="P19" s="3"/>
      <c r="Q19" s="3"/>
      <c r="R19" s="3"/>
      <c r="S19" s="3"/>
      <c r="T19" s="3"/>
      <c r="U19" s="3"/>
      <c r="V19" s="3"/>
      <c r="W19" s="3"/>
      <c r="X19" s="3"/>
      <c r="Y19" s="3"/>
      <c r="Z19" s="3"/>
    </row>
    <row r="20" spans="1:26">
      <c r="A20" s="1" t="s">
        <v>27</v>
      </c>
      <c r="B20" s="4">
        <v>388</v>
      </c>
      <c r="C20" s="4">
        <v>14505.52</v>
      </c>
      <c r="D20" s="4">
        <v>8</v>
      </c>
      <c r="E20" s="4">
        <v>251.3</v>
      </c>
      <c r="F20" s="4">
        <v>380</v>
      </c>
      <c r="G20" s="4">
        <v>14254.22</v>
      </c>
      <c r="H20" s="4">
        <v>37.51</v>
      </c>
      <c r="I20" s="3" t="str">
        <f t="shared" si="0"/>
        <v>07/yyyy</v>
      </c>
      <c r="J20" s="3"/>
      <c r="K20" s="3"/>
      <c r="L20" s="3"/>
      <c r="M20" s="3"/>
      <c r="N20" s="3"/>
      <c r="O20" s="3"/>
      <c r="P20" s="3"/>
      <c r="Q20" s="3"/>
      <c r="R20" s="3"/>
      <c r="S20" s="3"/>
      <c r="T20" s="3"/>
      <c r="U20" s="3"/>
      <c r="V20" s="3"/>
      <c r="W20" s="3"/>
      <c r="X20" s="3"/>
      <c r="Y20" s="3"/>
      <c r="Z20" s="3"/>
    </row>
    <row r="21" spans="1:26">
      <c r="A21" s="1" t="s">
        <v>28</v>
      </c>
      <c r="B21" s="4">
        <v>213</v>
      </c>
      <c r="C21" s="4">
        <v>7200.25</v>
      </c>
      <c r="D21" s="4">
        <v>1</v>
      </c>
      <c r="E21" s="4">
        <v>5</v>
      </c>
      <c r="F21" s="4">
        <v>212</v>
      </c>
      <c r="G21" s="4">
        <v>7195.25</v>
      </c>
      <c r="H21" s="4">
        <v>33.94</v>
      </c>
      <c r="I21" s="3" t="str">
        <f t="shared" si="0"/>
        <v>07/yyyy</v>
      </c>
      <c r="J21" s="3"/>
      <c r="K21" s="3"/>
      <c r="L21" s="3"/>
      <c r="M21" s="3"/>
      <c r="N21" s="3"/>
      <c r="O21" s="3"/>
      <c r="P21" s="3"/>
      <c r="Q21" s="3"/>
      <c r="R21" s="3"/>
      <c r="S21" s="3"/>
      <c r="T21" s="3"/>
      <c r="U21" s="3"/>
      <c r="V21" s="3"/>
      <c r="W21" s="3"/>
      <c r="X21" s="3"/>
      <c r="Y21" s="3"/>
      <c r="Z21" s="3"/>
    </row>
    <row r="22" spans="1:26">
      <c r="A22" s="5" t="s">
        <v>29</v>
      </c>
      <c r="B22" s="6">
        <v>277</v>
      </c>
      <c r="C22" s="6">
        <v>8860.6299999999992</v>
      </c>
      <c r="D22" s="6">
        <v>6</v>
      </c>
      <c r="E22" s="6">
        <v>187.5</v>
      </c>
      <c r="F22" s="6">
        <v>271</v>
      </c>
      <c r="G22" s="6">
        <v>8673.1299999999992</v>
      </c>
      <c r="H22" s="6">
        <v>32</v>
      </c>
      <c r="I22" s="3" t="str">
        <f t="shared" si="0"/>
        <v>07/yyyy</v>
      </c>
      <c r="J22" s="7"/>
      <c r="K22" s="7"/>
      <c r="L22" s="7"/>
      <c r="M22" s="7"/>
      <c r="N22" s="7"/>
      <c r="O22" s="7"/>
      <c r="P22" s="7"/>
      <c r="Q22" s="7"/>
      <c r="R22" s="7"/>
      <c r="S22" s="7"/>
      <c r="T22" s="7"/>
      <c r="U22" s="7"/>
      <c r="V22" s="7"/>
      <c r="W22" s="7"/>
      <c r="X22" s="7"/>
      <c r="Y22" s="7"/>
      <c r="Z22" s="7"/>
    </row>
    <row r="23" spans="1:26">
      <c r="A23" s="5" t="s">
        <v>30</v>
      </c>
      <c r="B23" s="6">
        <v>245</v>
      </c>
      <c r="C23" s="6">
        <v>8635.23</v>
      </c>
      <c r="D23" s="6">
        <v>20</v>
      </c>
      <c r="E23" s="6">
        <v>875.29</v>
      </c>
      <c r="F23" s="6">
        <v>255</v>
      </c>
      <c r="G23" s="6">
        <v>7759.94</v>
      </c>
      <c r="H23" s="6">
        <v>34.49</v>
      </c>
      <c r="I23" s="3" t="str">
        <f t="shared" si="0"/>
        <v>07/yyyy</v>
      </c>
      <c r="J23" s="7"/>
      <c r="K23" s="7"/>
      <c r="L23" s="7"/>
      <c r="M23" s="7"/>
      <c r="N23" s="7"/>
      <c r="O23" s="7"/>
      <c r="P23" s="7"/>
      <c r="Q23" s="7"/>
      <c r="R23" s="7"/>
      <c r="S23" s="7"/>
      <c r="T23" s="7"/>
      <c r="U23" s="7"/>
      <c r="V23" s="7"/>
      <c r="W23" s="7"/>
      <c r="X23" s="7"/>
      <c r="Y23" s="7"/>
      <c r="Z23" s="7"/>
    </row>
    <row r="24" spans="1:26">
      <c r="A24" s="5" t="s">
        <v>31</v>
      </c>
      <c r="B24" s="6">
        <v>246</v>
      </c>
      <c r="C24" s="6">
        <v>8314.4</v>
      </c>
      <c r="D24" s="6">
        <v>10</v>
      </c>
      <c r="E24" s="6">
        <v>478.58</v>
      </c>
      <c r="F24" s="6">
        <v>236</v>
      </c>
      <c r="G24" s="6">
        <v>7835.82</v>
      </c>
      <c r="H24" s="6">
        <v>33.200000000000003</v>
      </c>
      <c r="I24" s="3" t="str">
        <f t="shared" si="0"/>
        <v>07/yyyy</v>
      </c>
      <c r="J24" s="7"/>
      <c r="K24" s="7"/>
      <c r="L24" s="7"/>
      <c r="M24" s="7"/>
      <c r="N24" s="7"/>
      <c r="O24" s="7"/>
      <c r="P24" s="7"/>
      <c r="Q24" s="7"/>
      <c r="R24" s="7"/>
      <c r="S24" s="7"/>
      <c r="T24" s="7"/>
      <c r="U24" s="7"/>
      <c r="V24" s="7"/>
      <c r="W24" s="7"/>
      <c r="X24" s="7"/>
      <c r="Y24" s="7"/>
      <c r="Z24" s="7"/>
    </row>
    <row r="25" spans="1:26">
      <c r="A25" s="8" t="s">
        <v>32</v>
      </c>
      <c r="B25" s="3">
        <v>233</v>
      </c>
      <c r="C25" s="3">
        <v>8095.16</v>
      </c>
      <c r="D25" s="3">
        <v>10</v>
      </c>
      <c r="E25" s="3">
        <v>1037.2</v>
      </c>
      <c r="F25" s="3">
        <v>233</v>
      </c>
      <c r="G25" s="3">
        <v>7057.96</v>
      </c>
      <c r="H25" s="3">
        <v>31.65</v>
      </c>
      <c r="I25" s="3" t="str">
        <f t="shared" si="0"/>
        <v>07/yyyy</v>
      </c>
      <c r="J25" s="3"/>
      <c r="K25" s="3"/>
      <c r="L25" s="3"/>
      <c r="M25" s="3"/>
      <c r="N25" s="3"/>
      <c r="O25" s="3"/>
      <c r="P25" s="3"/>
      <c r="Q25" s="3"/>
      <c r="R25" s="3"/>
      <c r="S25" s="3"/>
      <c r="T25" s="3"/>
      <c r="U25" s="3"/>
      <c r="V25" s="3"/>
      <c r="W25" s="3"/>
      <c r="X25" s="3"/>
      <c r="Y25" s="3"/>
      <c r="Z25" s="3"/>
    </row>
    <row r="26" spans="1:26">
      <c r="A26" s="8" t="s">
        <v>33</v>
      </c>
      <c r="B26" s="3">
        <v>269</v>
      </c>
      <c r="C26" s="3">
        <v>9733.27</v>
      </c>
      <c r="D26" s="3">
        <v>4</v>
      </c>
      <c r="E26" s="3">
        <v>117</v>
      </c>
      <c r="F26" s="3">
        <v>265</v>
      </c>
      <c r="G26" s="3">
        <v>9616.27</v>
      </c>
      <c r="H26" s="3">
        <v>36.29</v>
      </c>
      <c r="I26" s="3" t="str">
        <f t="shared" si="0"/>
        <v>07/yyyy</v>
      </c>
      <c r="J26" s="3"/>
      <c r="K26" s="3"/>
      <c r="L26" s="3"/>
      <c r="M26" s="3"/>
      <c r="N26" s="3"/>
      <c r="O26" s="3"/>
      <c r="P26" s="3"/>
      <c r="Q26" s="3"/>
      <c r="R26" s="3"/>
      <c r="S26" s="3"/>
      <c r="T26" s="3"/>
      <c r="U26" s="3"/>
      <c r="V26" s="3"/>
      <c r="W26" s="3"/>
      <c r="X26" s="3"/>
      <c r="Y26" s="3"/>
      <c r="Z26" s="3"/>
    </row>
    <row r="27" spans="1:26">
      <c r="A27" s="8" t="s">
        <v>34</v>
      </c>
      <c r="B27" s="3">
        <v>418</v>
      </c>
      <c r="C27" s="3">
        <v>15339.72</v>
      </c>
      <c r="D27" s="3">
        <v>5</v>
      </c>
      <c r="E27" s="3">
        <v>220.5</v>
      </c>
      <c r="F27" s="3">
        <v>413</v>
      </c>
      <c r="G27" s="3">
        <v>15119.22</v>
      </c>
      <c r="H27" s="3">
        <v>36.61</v>
      </c>
      <c r="I27" s="3" t="str">
        <f t="shared" si="0"/>
        <v>07/yyyy</v>
      </c>
      <c r="J27" s="3"/>
      <c r="K27" s="3"/>
      <c r="L27" s="3"/>
      <c r="M27" s="3"/>
      <c r="N27" s="3"/>
      <c r="O27" s="3"/>
      <c r="P27" s="3"/>
      <c r="Q27" s="3"/>
      <c r="R27" s="3"/>
      <c r="S27" s="3"/>
      <c r="T27" s="3"/>
      <c r="U27" s="3"/>
      <c r="V27" s="3"/>
      <c r="W27" s="3"/>
      <c r="X27" s="3"/>
      <c r="Y27" s="3"/>
      <c r="Z27" s="3"/>
    </row>
    <row r="28" spans="1:26">
      <c r="A28" s="8" t="s">
        <v>35</v>
      </c>
      <c r="B28" s="3">
        <v>280</v>
      </c>
      <c r="C28" s="3">
        <v>10026.370000000001</v>
      </c>
      <c r="D28" s="3">
        <v>2</v>
      </c>
      <c r="E28" s="3">
        <v>101</v>
      </c>
      <c r="F28" s="3">
        <v>278</v>
      </c>
      <c r="G28" s="3">
        <v>9925.3700000000008</v>
      </c>
      <c r="H28" s="3">
        <v>35.700000000000003</v>
      </c>
      <c r="I28" s="3" t="str">
        <f t="shared" si="0"/>
        <v>07/yyyy</v>
      </c>
      <c r="J28" s="3"/>
      <c r="K28" s="3"/>
      <c r="L28" s="3"/>
      <c r="M28" s="3"/>
      <c r="N28" s="3"/>
      <c r="O28" s="3"/>
      <c r="P28" s="3"/>
      <c r="Q28" s="3"/>
      <c r="R28" s="3"/>
      <c r="S28" s="3"/>
      <c r="T28" s="3"/>
      <c r="U28" s="3"/>
      <c r="V28" s="3"/>
      <c r="W28" s="3"/>
      <c r="X28" s="3"/>
      <c r="Y28" s="3"/>
      <c r="Z28" s="3"/>
    </row>
    <row r="29" spans="1:26">
      <c r="A29" s="8" t="s">
        <v>36</v>
      </c>
      <c r="B29" s="3">
        <v>291</v>
      </c>
      <c r="C29" s="3">
        <v>9661.59</v>
      </c>
      <c r="D29" s="3">
        <v>5</v>
      </c>
      <c r="E29" s="3">
        <v>107</v>
      </c>
      <c r="F29" s="3">
        <v>286</v>
      </c>
      <c r="G29" s="3">
        <v>9554.59</v>
      </c>
      <c r="H29" s="3">
        <v>33.409999999999997</v>
      </c>
      <c r="I29" s="3" t="str">
        <f t="shared" si="0"/>
        <v>07/yyyy</v>
      </c>
      <c r="J29" s="3"/>
      <c r="K29" s="3"/>
      <c r="L29" s="3"/>
      <c r="M29" s="3"/>
      <c r="N29" s="3"/>
      <c r="O29" s="3"/>
      <c r="P29" s="3"/>
      <c r="Q29" s="3"/>
      <c r="R29" s="3"/>
      <c r="S29" s="3"/>
      <c r="T29" s="3"/>
      <c r="U29" s="3"/>
      <c r="V29" s="3"/>
      <c r="W29" s="3"/>
      <c r="X29" s="3"/>
      <c r="Y29" s="3"/>
      <c r="Z29" s="3"/>
    </row>
    <row r="30" spans="1:26">
      <c r="A30" s="8" t="s">
        <v>37</v>
      </c>
      <c r="B30" s="3">
        <v>265</v>
      </c>
      <c r="C30" s="3">
        <v>8292.6299999999992</v>
      </c>
      <c r="D30" s="3">
        <v>6</v>
      </c>
      <c r="E30" s="3">
        <v>170.5</v>
      </c>
      <c r="F30" s="3">
        <v>259</v>
      </c>
      <c r="G30" s="3">
        <v>8122.13</v>
      </c>
      <c r="H30" s="3">
        <v>31.36</v>
      </c>
      <c r="I30" s="3" t="str">
        <f t="shared" si="0"/>
        <v>07/yyyy</v>
      </c>
      <c r="J30" s="3"/>
      <c r="K30" s="3"/>
      <c r="L30" s="3"/>
      <c r="M30" s="3"/>
      <c r="N30" s="3"/>
      <c r="O30" s="3"/>
      <c r="P30" s="3"/>
      <c r="Q30" s="3"/>
      <c r="R30" s="3"/>
      <c r="S30" s="3"/>
      <c r="T30" s="3"/>
      <c r="U30" s="3"/>
      <c r="V30" s="3"/>
      <c r="W30" s="3"/>
      <c r="X30" s="3"/>
      <c r="Y30" s="3"/>
      <c r="Z30" s="3"/>
    </row>
    <row r="31" spans="1:26">
      <c r="A31" s="9" t="s">
        <v>38</v>
      </c>
      <c r="B31" s="10">
        <v>282</v>
      </c>
      <c r="C31" s="10">
        <v>8620.7099999999991</v>
      </c>
      <c r="D31" s="10">
        <v>2</v>
      </c>
      <c r="E31" s="10">
        <v>50</v>
      </c>
      <c r="F31" s="10">
        <v>280</v>
      </c>
      <c r="G31" s="10">
        <v>8570.7099999999991</v>
      </c>
      <c r="H31" s="10">
        <v>30.61</v>
      </c>
      <c r="I31" s="3" t="str">
        <f t="shared" si="0"/>
        <v>07/yyyy</v>
      </c>
      <c r="J31" s="3"/>
      <c r="K31" s="3"/>
      <c r="L31" s="3"/>
      <c r="M31" s="3"/>
      <c r="N31" s="3"/>
      <c r="O31" s="3"/>
      <c r="P31" s="3"/>
      <c r="Q31" s="3"/>
      <c r="R31" s="3"/>
      <c r="S31" s="3"/>
      <c r="T31" s="3"/>
      <c r="U31" s="3"/>
      <c r="V31" s="3"/>
      <c r="W31" s="3"/>
      <c r="X31" s="3"/>
      <c r="Y31" s="3"/>
      <c r="Z31" s="3"/>
    </row>
    <row r="32" spans="1:26">
      <c r="A32" s="9" t="s">
        <v>39</v>
      </c>
      <c r="B32" s="10">
        <v>297</v>
      </c>
      <c r="C32" s="10">
        <v>9492.7900000000009</v>
      </c>
      <c r="D32" s="10">
        <v>4</v>
      </c>
      <c r="E32" s="10">
        <v>162.19999999999999</v>
      </c>
      <c r="F32" s="10">
        <v>293</v>
      </c>
      <c r="G32" s="10">
        <v>9330.59</v>
      </c>
      <c r="H32" s="10">
        <v>31.85</v>
      </c>
      <c r="I32" s="3" t="str">
        <f t="shared" si="0"/>
        <v>07/yyyy</v>
      </c>
      <c r="J32" s="3"/>
      <c r="K32" s="3"/>
      <c r="L32" s="3"/>
      <c r="M32" s="3"/>
      <c r="N32" s="3"/>
      <c r="O32" s="3"/>
      <c r="P32" s="3"/>
      <c r="Q32" s="3"/>
      <c r="R32" s="3"/>
      <c r="S32" s="3"/>
      <c r="T32" s="3"/>
      <c r="U32" s="3"/>
      <c r="V32" s="3"/>
      <c r="W32" s="3"/>
      <c r="X32" s="3"/>
      <c r="Y32" s="3"/>
      <c r="Z32" s="3"/>
    </row>
    <row r="33" spans="1:26">
      <c r="A33" s="9" t="s">
        <v>40</v>
      </c>
      <c r="B33" s="10">
        <v>320</v>
      </c>
      <c r="C33" s="10">
        <v>10325.620000000001</v>
      </c>
      <c r="D33" s="10">
        <v>5</v>
      </c>
      <c r="E33" s="10">
        <v>170.5</v>
      </c>
      <c r="F33" s="10">
        <v>315</v>
      </c>
      <c r="G33" s="10">
        <v>10155.120000000001</v>
      </c>
      <c r="H33" s="10">
        <v>32.24</v>
      </c>
      <c r="I33" s="3" t="str">
        <f t="shared" si="0"/>
        <v>08/yyyy</v>
      </c>
      <c r="J33" s="3"/>
      <c r="K33" s="3"/>
      <c r="L33" s="3"/>
      <c r="M33" s="3"/>
      <c r="N33" s="3"/>
      <c r="O33" s="3"/>
      <c r="P33" s="3"/>
      <c r="Q33" s="3"/>
      <c r="R33" s="3"/>
      <c r="S33" s="3"/>
      <c r="T33" s="3"/>
      <c r="U33" s="3"/>
      <c r="V33" s="3"/>
      <c r="W33" s="3"/>
      <c r="X33" s="3"/>
      <c r="Y33" s="3"/>
      <c r="Z33" s="3"/>
    </row>
    <row r="34" spans="1:26">
      <c r="A34" s="9" t="s">
        <v>41</v>
      </c>
      <c r="B34" s="10">
        <v>375</v>
      </c>
      <c r="C34" s="10">
        <v>14042</v>
      </c>
      <c r="D34" s="10">
        <v>4</v>
      </c>
      <c r="E34" s="10">
        <v>186</v>
      </c>
      <c r="F34" s="10">
        <v>371</v>
      </c>
      <c r="G34" s="10">
        <v>13856</v>
      </c>
      <c r="H34" s="10">
        <v>37.35</v>
      </c>
      <c r="I34" s="3" t="str">
        <f t="shared" si="0"/>
        <v>08/yyyy</v>
      </c>
      <c r="J34" s="3"/>
      <c r="K34" s="3"/>
      <c r="L34" s="3"/>
      <c r="M34" s="3"/>
      <c r="N34" s="3"/>
      <c r="O34" s="3"/>
      <c r="P34" s="3"/>
      <c r="Q34" s="3"/>
      <c r="R34" s="3"/>
      <c r="S34" s="3"/>
      <c r="T34" s="3"/>
      <c r="U34" s="3"/>
      <c r="V34" s="3"/>
      <c r="W34" s="3"/>
      <c r="X34" s="3"/>
      <c r="Y34" s="3"/>
      <c r="Z34" s="3"/>
    </row>
    <row r="35" spans="1:26">
      <c r="A35" s="9" t="s">
        <v>42</v>
      </c>
      <c r="B35" s="10">
        <v>276</v>
      </c>
      <c r="C35" s="10">
        <v>11437.48</v>
      </c>
      <c r="D35" s="10">
        <v>0</v>
      </c>
      <c r="E35" s="10">
        <v>0</v>
      </c>
      <c r="F35" s="10">
        <v>276</v>
      </c>
      <c r="G35" s="10">
        <v>11437.48</v>
      </c>
      <c r="H35" s="10">
        <v>41.44</v>
      </c>
      <c r="I35" s="3" t="str">
        <f t="shared" si="0"/>
        <v>08/yyyy</v>
      </c>
      <c r="J35" s="3"/>
      <c r="K35" s="3"/>
      <c r="L35" s="3"/>
      <c r="M35" s="3"/>
      <c r="N35" s="3"/>
      <c r="O35" s="3"/>
      <c r="P35" s="3"/>
      <c r="Q35" s="3"/>
      <c r="R35" s="3"/>
      <c r="S35" s="3"/>
      <c r="T35" s="3"/>
      <c r="U35" s="3"/>
      <c r="V35" s="3"/>
      <c r="W35" s="3"/>
      <c r="X35" s="3"/>
      <c r="Y35" s="3"/>
      <c r="Z35" s="3"/>
    </row>
    <row r="36" spans="1:26" ht="15.75" customHeight="1">
      <c r="A36" s="9" t="s">
        <v>43</v>
      </c>
      <c r="B36" s="10">
        <v>252</v>
      </c>
      <c r="C36" s="10">
        <v>8186.98</v>
      </c>
      <c r="D36" s="10">
        <v>4</v>
      </c>
      <c r="E36" s="10">
        <v>57</v>
      </c>
      <c r="F36" s="10">
        <v>248</v>
      </c>
      <c r="G36" s="10">
        <v>8129.98</v>
      </c>
      <c r="H36" s="10">
        <v>32.78</v>
      </c>
      <c r="I36" s="11" t="str">
        <f t="shared" si="0"/>
        <v>08/yyyy</v>
      </c>
      <c r="J36" s="11"/>
      <c r="K36" s="11"/>
      <c r="L36" s="11"/>
      <c r="M36" s="11"/>
      <c r="N36" s="11"/>
      <c r="O36" s="11"/>
      <c r="P36" s="11"/>
      <c r="Q36" s="11"/>
      <c r="R36" s="11"/>
      <c r="S36" s="11"/>
      <c r="T36" s="11"/>
      <c r="U36" s="11"/>
      <c r="V36" s="11"/>
      <c r="W36" s="11"/>
      <c r="X36" s="11"/>
      <c r="Y36" s="11"/>
      <c r="Z36" s="11"/>
    </row>
    <row r="37" spans="1:26">
      <c r="A37" s="12" t="s">
        <v>44</v>
      </c>
      <c r="B37" s="13">
        <v>226</v>
      </c>
      <c r="C37" s="13">
        <v>7920.37</v>
      </c>
      <c r="D37" s="13">
        <v>7</v>
      </c>
      <c r="E37" s="13">
        <v>222.9</v>
      </c>
      <c r="F37" s="13">
        <v>219</v>
      </c>
      <c r="G37" s="13">
        <v>7697.47</v>
      </c>
      <c r="H37" s="13">
        <v>35.15</v>
      </c>
      <c r="I37" s="3" t="str">
        <f t="shared" si="0"/>
        <v>08/yyyy</v>
      </c>
      <c r="J37" s="3"/>
      <c r="K37" s="3"/>
      <c r="L37" s="3"/>
      <c r="M37" s="3"/>
      <c r="N37" s="3"/>
      <c r="O37" s="3"/>
      <c r="P37" s="3"/>
      <c r="Q37" s="3"/>
      <c r="R37" s="3"/>
      <c r="S37" s="3"/>
      <c r="T37" s="3"/>
      <c r="U37" s="3"/>
      <c r="V37" s="3"/>
      <c r="W37" s="3"/>
      <c r="X37" s="3"/>
      <c r="Y37" s="3"/>
      <c r="Z37" s="3"/>
    </row>
    <row r="38" spans="1:26">
      <c r="A38" s="12" t="s">
        <v>45</v>
      </c>
      <c r="B38" s="13">
        <v>249</v>
      </c>
      <c r="C38" s="13">
        <v>7870.71</v>
      </c>
      <c r="D38" s="13">
        <v>4</v>
      </c>
      <c r="E38" s="13">
        <v>226.6</v>
      </c>
      <c r="F38" s="13">
        <v>245</v>
      </c>
      <c r="G38" s="13">
        <v>7644.11</v>
      </c>
      <c r="H38" s="13">
        <v>31.2</v>
      </c>
      <c r="I38" s="3" t="str">
        <f t="shared" si="0"/>
        <v>08/yyyy</v>
      </c>
      <c r="J38" s="3"/>
      <c r="K38" s="3"/>
      <c r="L38" s="3"/>
      <c r="M38" s="3"/>
      <c r="N38" s="3"/>
      <c r="O38" s="3"/>
      <c r="P38" s="3"/>
      <c r="Q38" s="3"/>
      <c r="R38" s="3"/>
      <c r="S38" s="3"/>
      <c r="T38" s="3"/>
      <c r="U38" s="3"/>
      <c r="V38" s="3"/>
      <c r="W38" s="3"/>
      <c r="X38" s="3"/>
      <c r="Y38" s="3"/>
      <c r="Z38" s="3"/>
    </row>
    <row r="39" spans="1:26">
      <c r="A39" s="12" t="s">
        <v>46</v>
      </c>
      <c r="B39" s="13">
        <v>265</v>
      </c>
      <c r="C39" s="13">
        <v>9221.11</v>
      </c>
      <c r="D39" s="13">
        <v>3</v>
      </c>
      <c r="E39" s="13">
        <v>164</v>
      </c>
      <c r="F39" s="13">
        <v>262</v>
      </c>
      <c r="G39" s="13">
        <v>9057.11</v>
      </c>
      <c r="H39" s="13">
        <v>34.57</v>
      </c>
      <c r="I39" s="3" t="str">
        <f t="shared" si="0"/>
        <v>08/yyyy</v>
      </c>
      <c r="J39" s="3"/>
      <c r="K39" s="3"/>
      <c r="L39" s="3"/>
      <c r="M39" s="3"/>
      <c r="N39" s="3"/>
      <c r="O39" s="3"/>
      <c r="P39" s="3"/>
      <c r="Q39" s="3"/>
      <c r="R39" s="3"/>
      <c r="S39" s="3"/>
      <c r="T39" s="3"/>
      <c r="U39" s="3"/>
      <c r="V39" s="3"/>
      <c r="W39" s="3"/>
      <c r="X39" s="3"/>
      <c r="Y39" s="3"/>
      <c r="Z39" s="3"/>
    </row>
    <row r="40" spans="1:26">
      <c r="A40" s="12" t="s">
        <v>47</v>
      </c>
      <c r="B40" s="13">
        <v>279</v>
      </c>
      <c r="C40" s="13">
        <v>9722.99</v>
      </c>
      <c r="D40" s="13">
        <v>4</v>
      </c>
      <c r="E40" s="13">
        <v>143.1</v>
      </c>
      <c r="F40" s="13">
        <v>275</v>
      </c>
      <c r="G40" s="13">
        <v>9579.89</v>
      </c>
      <c r="H40" s="13">
        <v>34.840000000000003</v>
      </c>
      <c r="I40" s="3" t="str">
        <f t="shared" si="0"/>
        <v>08/yyyy</v>
      </c>
      <c r="J40" s="3"/>
      <c r="K40" s="3"/>
      <c r="L40" s="3"/>
      <c r="M40" s="3"/>
      <c r="N40" s="3"/>
      <c r="O40" s="3"/>
      <c r="P40" s="3"/>
      <c r="Q40" s="3"/>
      <c r="R40" s="3"/>
      <c r="S40" s="3"/>
      <c r="T40" s="3"/>
      <c r="U40" s="3"/>
      <c r="V40" s="3"/>
      <c r="W40" s="3"/>
      <c r="X40" s="3"/>
      <c r="Y40" s="3"/>
      <c r="Z40" s="3"/>
    </row>
    <row r="41" spans="1:26">
      <c r="A41" s="12" t="s">
        <v>48</v>
      </c>
      <c r="B41" s="13">
        <v>416</v>
      </c>
      <c r="C41" s="13">
        <v>15026.09</v>
      </c>
      <c r="D41" s="13">
        <v>4</v>
      </c>
      <c r="E41" s="13">
        <v>124.5</v>
      </c>
      <c r="F41" s="13">
        <v>412</v>
      </c>
      <c r="G41" s="13">
        <v>14904.59</v>
      </c>
      <c r="H41" s="13">
        <v>36.18</v>
      </c>
      <c r="I41" s="3" t="str">
        <f t="shared" si="0"/>
        <v>08/yyyy</v>
      </c>
      <c r="J41" s="3"/>
      <c r="K41" s="3"/>
      <c r="L41" s="3"/>
      <c r="M41" s="3"/>
      <c r="N41" s="3"/>
      <c r="O41" s="3"/>
      <c r="P41" s="3"/>
      <c r="Q41" s="3"/>
      <c r="R41" s="3"/>
      <c r="S41" s="3"/>
      <c r="T41" s="3"/>
      <c r="U41" s="3"/>
      <c r="V41" s="3"/>
      <c r="W41" s="3"/>
      <c r="X41" s="3"/>
      <c r="Y41" s="3"/>
      <c r="Z41" s="3"/>
    </row>
    <row r="42" spans="1:26">
      <c r="A42" s="12" t="s">
        <v>49</v>
      </c>
      <c r="B42" s="13">
        <v>366</v>
      </c>
      <c r="C42" s="13">
        <v>18750.12</v>
      </c>
      <c r="D42" s="13">
        <v>5</v>
      </c>
      <c r="E42" s="13">
        <v>405.49</v>
      </c>
      <c r="F42" s="13">
        <v>361</v>
      </c>
      <c r="G42" s="13">
        <v>18344.63</v>
      </c>
      <c r="H42" s="13">
        <v>50.82</v>
      </c>
      <c r="I42" s="3" t="str">
        <f t="shared" si="0"/>
        <v>08/yyyy</v>
      </c>
      <c r="J42" s="3"/>
      <c r="K42" s="3"/>
      <c r="L42" s="3"/>
      <c r="M42" s="3"/>
      <c r="N42" s="3"/>
      <c r="O42" s="3"/>
      <c r="P42" s="3"/>
      <c r="Q42" s="3"/>
      <c r="R42" s="3"/>
      <c r="S42" s="3"/>
      <c r="T42" s="3"/>
      <c r="U42" s="3"/>
      <c r="V42" s="3"/>
      <c r="W42" s="3"/>
      <c r="X42" s="3"/>
      <c r="Y42" s="3"/>
      <c r="Z42" s="3"/>
    </row>
    <row r="43" spans="1:26">
      <c r="A43" s="12" t="s">
        <v>50</v>
      </c>
      <c r="B43" s="13">
        <v>251</v>
      </c>
      <c r="C43" s="13">
        <v>7560.73</v>
      </c>
      <c r="D43" s="13">
        <v>3</v>
      </c>
      <c r="E43" s="13">
        <v>150.5</v>
      </c>
      <c r="F43" s="13">
        <v>248</v>
      </c>
      <c r="G43" s="13">
        <v>7410.23</v>
      </c>
      <c r="H43" s="13">
        <v>29.88</v>
      </c>
      <c r="I43" s="3" t="str">
        <f t="shared" si="0"/>
        <v>08/yyyy</v>
      </c>
      <c r="J43" s="3"/>
      <c r="K43" s="3"/>
      <c r="L43" s="3"/>
      <c r="M43" s="3"/>
      <c r="N43" s="3"/>
      <c r="O43" s="3"/>
      <c r="P43" s="3"/>
      <c r="Q43" s="3"/>
      <c r="R43" s="3"/>
      <c r="S43" s="3"/>
      <c r="T43" s="3"/>
      <c r="U43" s="3"/>
      <c r="V43" s="3"/>
      <c r="W43" s="3"/>
      <c r="X43" s="3"/>
      <c r="Y43" s="3"/>
      <c r="Z43" s="3"/>
    </row>
    <row r="44" spans="1:26">
      <c r="A44" s="9" t="s">
        <v>51</v>
      </c>
      <c r="B44" s="10">
        <v>232</v>
      </c>
      <c r="C44" s="10">
        <v>6886.19</v>
      </c>
      <c r="D44" s="10">
        <v>3</v>
      </c>
      <c r="E44" s="10">
        <v>50</v>
      </c>
      <c r="F44" s="10">
        <v>229</v>
      </c>
      <c r="G44" s="10">
        <v>6836.19</v>
      </c>
      <c r="H44" s="10">
        <v>29.85</v>
      </c>
      <c r="I44" s="3" t="str">
        <f t="shared" si="0"/>
        <v>08/yyyy</v>
      </c>
      <c r="J44" s="3"/>
      <c r="K44" s="3"/>
      <c r="L44" s="3"/>
      <c r="M44" s="3"/>
      <c r="N44" s="3"/>
      <c r="O44" s="3"/>
      <c r="P44" s="3"/>
      <c r="Q44" s="3"/>
      <c r="R44" s="3"/>
      <c r="S44" s="3"/>
      <c r="T44" s="3"/>
      <c r="U44" s="3"/>
      <c r="V44" s="3"/>
      <c r="W44" s="3"/>
      <c r="X44" s="3"/>
      <c r="Y44" s="3"/>
      <c r="Z44" s="3"/>
    </row>
    <row r="45" spans="1:26">
      <c r="A45" s="9" t="s">
        <v>52</v>
      </c>
      <c r="B45" s="10">
        <v>211</v>
      </c>
      <c r="C45" s="10">
        <v>6016.95</v>
      </c>
      <c r="D45" s="10">
        <v>0</v>
      </c>
      <c r="E45" s="10">
        <v>0</v>
      </c>
      <c r="F45" s="10">
        <v>211</v>
      </c>
      <c r="G45" s="10">
        <v>6016.95</v>
      </c>
      <c r="H45" s="10">
        <v>28.52</v>
      </c>
      <c r="I45" s="3" t="str">
        <f t="shared" si="0"/>
        <v>08/yyyy</v>
      </c>
      <c r="J45" s="3"/>
      <c r="K45" s="3"/>
      <c r="L45" s="3"/>
      <c r="M45" s="3"/>
      <c r="N45" s="3"/>
      <c r="O45" s="3"/>
      <c r="P45" s="3"/>
      <c r="Q45" s="3"/>
      <c r="R45" s="3"/>
      <c r="S45" s="3"/>
      <c r="T45" s="3"/>
      <c r="U45" s="3"/>
      <c r="V45" s="3"/>
      <c r="W45" s="3"/>
      <c r="X45" s="3"/>
      <c r="Y45" s="3"/>
      <c r="Z45" s="3"/>
    </row>
    <row r="46" spans="1:26">
      <c r="A46" s="9" t="s">
        <v>53</v>
      </c>
      <c r="B46" s="10">
        <v>261</v>
      </c>
      <c r="C46" s="10">
        <v>8958.5499999999993</v>
      </c>
      <c r="D46" s="10">
        <v>8</v>
      </c>
      <c r="E46" s="10">
        <v>519.5</v>
      </c>
      <c r="F46" s="10">
        <v>253</v>
      </c>
      <c r="G46" s="10">
        <v>8439.0499999999993</v>
      </c>
      <c r="H46" s="10">
        <v>33.36</v>
      </c>
      <c r="I46" s="3" t="str">
        <f t="shared" si="0"/>
        <v>08/yyyy</v>
      </c>
      <c r="J46" s="3"/>
      <c r="K46" s="3"/>
      <c r="L46" s="3"/>
      <c r="M46" s="3"/>
      <c r="N46" s="3"/>
      <c r="O46" s="3"/>
      <c r="P46" s="3"/>
      <c r="Q46" s="3"/>
      <c r="R46" s="3"/>
      <c r="S46" s="3"/>
      <c r="T46" s="3"/>
      <c r="U46" s="3"/>
      <c r="V46" s="3"/>
      <c r="W46" s="3"/>
      <c r="X46" s="3"/>
      <c r="Y46" s="3"/>
      <c r="Z46" s="3"/>
    </row>
    <row r="47" spans="1:26">
      <c r="A47" s="12" t="s">
        <v>54</v>
      </c>
      <c r="B47" s="13">
        <v>273</v>
      </c>
      <c r="C47" s="13">
        <v>9373.94</v>
      </c>
      <c r="D47" s="13">
        <v>4</v>
      </c>
      <c r="E47" s="13">
        <v>289.29000000000002</v>
      </c>
      <c r="F47" s="13">
        <v>269</v>
      </c>
      <c r="G47" s="13">
        <v>9084.65</v>
      </c>
      <c r="H47" s="13">
        <v>33.770000000000003</v>
      </c>
      <c r="I47" s="3" t="str">
        <f t="shared" si="0"/>
        <v>08/yyyy</v>
      </c>
      <c r="J47" s="3"/>
      <c r="K47" s="3"/>
      <c r="L47" s="3"/>
      <c r="M47" s="3"/>
      <c r="N47" s="3"/>
      <c r="O47" s="3"/>
      <c r="P47" s="3"/>
      <c r="Q47" s="3"/>
      <c r="R47" s="3"/>
      <c r="S47" s="3"/>
      <c r="T47" s="3"/>
      <c r="U47" s="3"/>
      <c r="V47" s="3"/>
      <c r="W47" s="3"/>
      <c r="X47" s="3"/>
      <c r="Y47" s="3"/>
      <c r="Z47" s="3"/>
    </row>
    <row r="48" spans="1:26">
      <c r="A48" s="12" t="s">
        <v>55</v>
      </c>
      <c r="B48" s="13">
        <v>369</v>
      </c>
      <c r="C48" s="13">
        <v>13256.12</v>
      </c>
      <c r="D48" s="13">
        <v>11</v>
      </c>
      <c r="E48" s="13">
        <v>571.29999999999995</v>
      </c>
      <c r="F48" s="13">
        <v>358</v>
      </c>
      <c r="G48" s="13">
        <v>12684.82</v>
      </c>
      <c r="H48" s="13">
        <v>35.43</v>
      </c>
      <c r="I48" s="3" t="str">
        <f t="shared" si="0"/>
        <v>08/yyyy</v>
      </c>
      <c r="J48" s="3"/>
      <c r="K48" s="3"/>
      <c r="L48" s="3"/>
      <c r="M48" s="3"/>
      <c r="N48" s="3"/>
      <c r="O48" s="3"/>
      <c r="P48" s="3"/>
      <c r="Q48" s="3"/>
      <c r="R48" s="3"/>
      <c r="S48" s="3"/>
      <c r="T48" s="3"/>
      <c r="U48" s="3"/>
      <c r="V48" s="3"/>
      <c r="W48" s="3"/>
      <c r="X48" s="3"/>
      <c r="Y48" s="3"/>
      <c r="Z48" s="3"/>
    </row>
    <row r="49" spans="1:26">
      <c r="A49" s="12" t="s">
        <v>56</v>
      </c>
      <c r="B49" s="13">
        <v>228</v>
      </c>
      <c r="C49" s="13">
        <v>7590.28</v>
      </c>
      <c r="D49" s="13">
        <v>0</v>
      </c>
      <c r="E49" s="13">
        <v>0</v>
      </c>
      <c r="F49" s="13">
        <v>228</v>
      </c>
      <c r="G49" s="13">
        <v>7590.28</v>
      </c>
      <c r="H49" s="13">
        <v>33.29</v>
      </c>
      <c r="I49" s="3" t="str">
        <f t="shared" si="0"/>
        <v>08/yyyy</v>
      </c>
      <c r="J49" s="3"/>
      <c r="K49" s="3"/>
      <c r="L49" s="3"/>
      <c r="M49" s="3"/>
      <c r="N49" s="3"/>
      <c r="O49" s="3"/>
      <c r="P49" s="3"/>
      <c r="Q49" s="3"/>
      <c r="R49" s="3"/>
      <c r="S49" s="3"/>
      <c r="T49" s="3"/>
      <c r="U49" s="3"/>
      <c r="V49" s="3"/>
      <c r="W49" s="3"/>
      <c r="X49" s="3"/>
      <c r="Y49" s="3"/>
      <c r="Z49" s="3"/>
    </row>
    <row r="50" spans="1:26">
      <c r="A50" s="12" t="s">
        <v>57</v>
      </c>
      <c r="B50" s="13">
        <v>242</v>
      </c>
      <c r="C50" s="13">
        <v>7641.07</v>
      </c>
      <c r="D50" s="13">
        <v>2</v>
      </c>
      <c r="E50" s="13">
        <v>227.5</v>
      </c>
      <c r="F50" s="13">
        <v>240</v>
      </c>
      <c r="G50" s="13">
        <v>7413.57</v>
      </c>
      <c r="H50" s="13">
        <v>30.89</v>
      </c>
      <c r="I50" s="3" t="str">
        <f t="shared" si="0"/>
        <v>08/yyyy</v>
      </c>
      <c r="J50" s="3"/>
      <c r="K50" s="3"/>
      <c r="L50" s="3"/>
      <c r="M50" s="3"/>
      <c r="N50" s="3"/>
      <c r="O50" s="3"/>
      <c r="P50" s="3"/>
      <c r="Q50" s="3"/>
      <c r="R50" s="3"/>
      <c r="S50" s="3"/>
      <c r="T50" s="3"/>
      <c r="U50" s="3"/>
      <c r="V50" s="3"/>
      <c r="W50" s="3"/>
      <c r="X50" s="3"/>
      <c r="Y50" s="3"/>
      <c r="Z50" s="3"/>
    </row>
    <row r="51" spans="1:26">
      <c r="A51" s="12" t="s">
        <v>58</v>
      </c>
      <c r="B51" s="13">
        <v>228</v>
      </c>
      <c r="C51" s="13">
        <v>8005.06</v>
      </c>
      <c r="D51" s="13">
        <v>5</v>
      </c>
      <c r="E51" s="13">
        <v>474</v>
      </c>
      <c r="F51" s="13">
        <v>223</v>
      </c>
      <c r="G51" s="13">
        <v>7531.06</v>
      </c>
      <c r="H51" s="13">
        <v>33.770000000000003</v>
      </c>
      <c r="I51" s="3" t="str">
        <f t="shared" si="0"/>
        <v>08/yyyy</v>
      </c>
      <c r="J51" s="3"/>
      <c r="K51" s="3"/>
      <c r="L51" s="3"/>
      <c r="M51" s="3"/>
      <c r="N51" s="3"/>
      <c r="O51" s="3"/>
      <c r="P51" s="3"/>
      <c r="Q51" s="3"/>
      <c r="R51" s="3"/>
      <c r="S51" s="3"/>
      <c r="T51" s="3"/>
      <c r="U51" s="3"/>
      <c r="V51" s="3"/>
      <c r="W51" s="3"/>
      <c r="X51" s="3"/>
      <c r="Y51" s="3"/>
      <c r="Z51" s="3"/>
    </row>
    <row r="52" spans="1:26">
      <c r="A52" s="12" t="s">
        <v>59</v>
      </c>
      <c r="B52" s="13">
        <v>234</v>
      </c>
      <c r="C52" s="13">
        <v>7763.11</v>
      </c>
      <c r="D52" s="13">
        <v>3</v>
      </c>
      <c r="E52" s="13">
        <v>174.49</v>
      </c>
      <c r="F52" s="13">
        <v>231</v>
      </c>
      <c r="G52" s="13">
        <v>7588.62</v>
      </c>
      <c r="H52" s="13">
        <v>32.85</v>
      </c>
      <c r="I52" s="3" t="str">
        <f t="shared" si="0"/>
        <v>08/yyyy</v>
      </c>
      <c r="J52" s="3"/>
      <c r="K52" s="3"/>
      <c r="L52" s="3"/>
      <c r="M52" s="3"/>
      <c r="N52" s="3"/>
      <c r="O52" s="3"/>
      <c r="P52" s="3"/>
      <c r="Q52" s="3"/>
      <c r="R52" s="3"/>
      <c r="S52" s="3"/>
      <c r="T52" s="3"/>
      <c r="U52" s="3"/>
      <c r="V52" s="3"/>
      <c r="W52" s="3"/>
      <c r="X52" s="3"/>
      <c r="Y52" s="3"/>
      <c r="Z52" s="3"/>
    </row>
    <row r="53" spans="1:26">
      <c r="A53" s="12" t="s">
        <v>60</v>
      </c>
      <c r="B53" s="13">
        <v>233</v>
      </c>
      <c r="C53" s="13">
        <v>7190.91</v>
      </c>
      <c r="D53" s="13">
        <v>3</v>
      </c>
      <c r="E53" s="13">
        <v>174.49</v>
      </c>
      <c r="F53" s="13">
        <v>233</v>
      </c>
      <c r="G53" s="13">
        <v>7190.91</v>
      </c>
      <c r="H53" s="13">
        <v>30.86</v>
      </c>
      <c r="I53" s="3" t="str">
        <f t="shared" si="0"/>
        <v>08/yyyy</v>
      </c>
      <c r="J53" s="3"/>
      <c r="K53" s="3"/>
      <c r="L53" s="3"/>
      <c r="M53" s="3"/>
      <c r="N53" s="3"/>
      <c r="O53" s="3"/>
      <c r="P53" s="3"/>
      <c r="Q53" s="3"/>
      <c r="R53" s="3"/>
      <c r="S53" s="3"/>
      <c r="T53" s="3"/>
      <c r="U53" s="3"/>
      <c r="V53" s="3"/>
      <c r="W53" s="3"/>
      <c r="X53" s="3"/>
      <c r="Y53" s="3"/>
      <c r="Z53" s="3"/>
    </row>
    <row r="54" spans="1:26">
      <c r="A54" s="12" t="s">
        <v>61</v>
      </c>
      <c r="B54" s="13">
        <v>278</v>
      </c>
      <c r="C54" s="13">
        <v>9922.4</v>
      </c>
      <c r="D54" s="13">
        <v>5</v>
      </c>
      <c r="E54" s="13">
        <v>397.09</v>
      </c>
      <c r="F54" s="13">
        <v>273</v>
      </c>
      <c r="G54" s="13">
        <v>9525.31</v>
      </c>
      <c r="H54" s="13">
        <v>34.89</v>
      </c>
      <c r="I54" s="3" t="str">
        <f t="shared" si="0"/>
        <v>08/yyyy</v>
      </c>
      <c r="J54" s="3"/>
      <c r="K54" s="3"/>
      <c r="L54" s="3"/>
      <c r="M54" s="3"/>
      <c r="N54" s="3"/>
      <c r="O54" s="3"/>
      <c r="P54" s="3"/>
      <c r="Q54" s="3"/>
      <c r="R54" s="3"/>
      <c r="S54" s="3"/>
      <c r="T54" s="3"/>
      <c r="U54" s="3"/>
      <c r="V54" s="3"/>
      <c r="W54" s="3"/>
      <c r="X54" s="3"/>
      <c r="Y54" s="3"/>
      <c r="Z54" s="3"/>
    </row>
    <row r="55" spans="1:26">
      <c r="A55" s="12" t="s">
        <v>62</v>
      </c>
      <c r="B55" s="13">
        <v>370</v>
      </c>
      <c r="C55" s="13">
        <v>13168.53</v>
      </c>
      <c r="D55" s="13">
        <v>1</v>
      </c>
      <c r="E55" s="13">
        <v>90</v>
      </c>
      <c r="F55" s="13">
        <v>369</v>
      </c>
      <c r="G55" s="13">
        <v>13078.53</v>
      </c>
      <c r="H55" s="13">
        <v>35.44</v>
      </c>
      <c r="I55" s="3" t="str">
        <f t="shared" si="0"/>
        <v>08/yyyy</v>
      </c>
      <c r="J55" s="3"/>
      <c r="K55" s="3"/>
      <c r="L55" s="3"/>
      <c r="M55" s="3"/>
      <c r="N55" s="3"/>
      <c r="O55" s="3"/>
      <c r="P55" s="3"/>
      <c r="Q55" s="3"/>
      <c r="R55" s="3"/>
      <c r="S55" s="3"/>
      <c r="T55" s="3"/>
      <c r="U55" s="3"/>
      <c r="V55" s="3"/>
      <c r="W55" s="3"/>
      <c r="X55" s="3"/>
      <c r="Y55" s="3"/>
      <c r="Z55" s="3"/>
    </row>
    <row r="56" spans="1:26">
      <c r="A56" s="12" t="s">
        <v>63</v>
      </c>
      <c r="B56" s="13">
        <v>222</v>
      </c>
      <c r="C56" s="13">
        <v>7663.15</v>
      </c>
      <c r="D56" s="13">
        <v>0</v>
      </c>
      <c r="E56" s="13">
        <v>0</v>
      </c>
      <c r="F56" s="13">
        <v>22</v>
      </c>
      <c r="G56" s="13">
        <v>7663.15</v>
      </c>
      <c r="H56" s="13">
        <v>34.520000000000003</v>
      </c>
      <c r="I56" s="3" t="str">
        <f t="shared" si="0"/>
        <v>08/yyyy</v>
      </c>
      <c r="J56" s="3"/>
      <c r="K56" s="3"/>
      <c r="L56" s="3"/>
      <c r="M56" s="3"/>
      <c r="N56" s="3"/>
      <c r="O56" s="3"/>
      <c r="P56" s="3"/>
      <c r="Q56" s="3"/>
      <c r="R56" s="3"/>
      <c r="S56" s="3"/>
      <c r="T56" s="3"/>
      <c r="U56" s="3"/>
      <c r="V56" s="3"/>
      <c r="W56" s="3"/>
      <c r="X56" s="3"/>
      <c r="Y56" s="3"/>
      <c r="Z56" s="3"/>
    </row>
    <row r="57" spans="1:26">
      <c r="A57" s="12" t="s">
        <v>64</v>
      </c>
      <c r="B57" s="13">
        <v>262</v>
      </c>
      <c r="C57" s="13">
        <v>9179.7099999999991</v>
      </c>
      <c r="D57" s="13">
        <v>4</v>
      </c>
      <c r="E57" s="13">
        <v>110.5</v>
      </c>
      <c r="F57" s="13">
        <v>258</v>
      </c>
      <c r="G57" s="13">
        <v>9069.2099999999991</v>
      </c>
      <c r="H57" s="13">
        <v>35.15</v>
      </c>
      <c r="I57" s="3" t="str">
        <f t="shared" si="0"/>
        <v>08/yyyy</v>
      </c>
      <c r="J57" s="3"/>
      <c r="K57" s="3"/>
      <c r="L57" s="3"/>
      <c r="M57" s="3"/>
      <c r="N57" s="3"/>
      <c r="O57" s="3"/>
      <c r="P57" s="3"/>
      <c r="Q57" s="3"/>
      <c r="R57" s="3"/>
      <c r="S57" s="3"/>
      <c r="T57" s="3"/>
      <c r="U57" s="3"/>
      <c r="V57" s="3"/>
      <c r="W57" s="3"/>
      <c r="X57" s="3"/>
      <c r="Y57" s="3"/>
      <c r="Z57" s="3"/>
    </row>
    <row r="58" spans="1:26">
      <c r="A58" s="12" t="s">
        <v>65</v>
      </c>
      <c r="B58" s="13">
        <v>256</v>
      </c>
      <c r="C58" s="13">
        <v>8769.69</v>
      </c>
      <c r="D58" s="13">
        <v>2</v>
      </c>
      <c r="E58" s="13">
        <v>9</v>
      </c>
      <c r="F58" s="13">
        <v>254</v>
      </c>
      <c r="G58" s="13">
        <v>8760.69</v>
      </c>
      <c r="H58" s="13">
        <v>34.49</v>
      </c>
      <c r="I58" s="3" t="str">
        <f t="shared" si="0"/>
        <v>08/yyyy</v>
      </c>
      <c r="J58" s="3"/>
      <c r="K58" s="3"/>
      <c r="L58" s="3"/>
      <c r="M58" s="3"/>
      <c r="N58" s="3"/>
      <c r="O58" s="3"/>
      <c r="P58" s="3"/>
      <c r="Q58" s="3"/>
      <c r="R58" s="3"/>
      <c r="S58" s="3"/>
      <c r="T58" s="3"/>
      <c r="U58" s="3"/>
      <c r="V58" s="3"/>
      <c r="W58" s="3"/>
      <c r="X58" s="3"/>
      <c r="Y58" s="3"/>
      <c r="Z58" s="3"/>
    </row>
    <row r="59" spans="1:26">
      <c r="A59" s="12" t="s">
        <v>66</v>
      </c>
      <c r="B59" s="13">
        <v>231</v>
      </c>
      <c r="C59" s="13">
        <v>7989.19</v>
      </c>
      <c r="D59" s="13">
        <v>6</v>
      </c>
      <c r="E59" s="13">
        <v>216</v>
      </c>
      <c r="F59" s="13">
        <v>225</v>
      </c>
      <c r="G59" s="13">
        <v>7773.19</v>
      </c>
      <c r="H59" s="13">
        <v>34.549999999999997</v>
      </c>
      <c r="I59" s="3" t="str">
        <f t="shared" si="0"/>
        <v>08/yyyy</v>
      </c>
      <c r="J59" s="3"/>
      <c r="K59" s="3"/>
      <c r="L59" s="3"/>
      <c r="M59" s="3"/>
      <c r="N59" s="3"/>
      <c r="O59" s="3"/>
      <c r="P59" s="3"/>
      <c r="Q59" s="3"/>
      <c r="R59" s="3"/>
      <c r="S59" s="3"/>
      <c r="T59" s="3"/>
      <c r="U59" s="3"/>
      <c r="V59" s="3"/>
      <c r="W59" s="3"/>
      <c r="X59" s="3"/>
      <c r="Y59" s="3"/>
      <c r="Z59" s="3"/>
    </row>
    <row r="60" spans="1:26">
      <c r="A60" s="12" t="s">
        <v>67</v>
      </c>
      <c r="B60" s="13">
        <v>249</v>
      </c>
      <c r="C60" s="13">
        <v>7979.87</v>
      </c>
      <c r="D60" s="13">
        <v>1</v>
      </c>
      <c r="E60" s="13">
        <v>6</v>
      </c>
      <c r="F60" s="13">
        <v>248</v>
      </c>
      <c r="G60" s="13">
        <v>7973.87</v>
      </c>
      <c r="H60" s="13">
        <v>32.15</v>
      </c>
      <c r="I60" s="3" t="str">
        <f t="shared" si="0"/>
        <v>08/yyyy</v>
      </c>
      <c r="J60" s="3"/>
      <c r="K60" s="3"/>
      <c r="L60" s="3"/>
      <c r="M60" s="3"/>
      <c r="N60" s="3"/>
      <c r="O60" s="3"/>
      <c r="P60" s="3"/>
      <c r="Q60" s="3"/>
      <c r="R60" s="3"/>
      <c r="S60" s="3"/>
      <c r="T60" s="3"/>
      <c r="U60" s="3"/>
      <c r="V60" s="3"/>
      <c r="W60" s="3"/>
      <c r="X60" s="3"/>
      <c r="Y60" s="3"/>
      <c r="Z60" s="3"/>
    </row>
    <row r="61" spans="1:26">
      <c r="A61" s="12" t="s">
        <v>68</v>
      </c>
      <c r="B61" s="13">
        <v>273</v>
      </c>
      <c r="C61" s="13">
        <v>8754.08</v>
      </c>
      <c r="D61" s="13">
        <v>1</v>
      </c>
      <c r="E61" s="13">
        <v>6</v>
      </c>
      <c r="F61" s="13">
        <v>273</v>
      </c>
      <c r="G61" s="13">
        <v>8754.08</v>
      </c>
      <c r="H61" s="13">
        <v>32.07</v>
      </c>
      <c r="I61" s="3" t="str">
        <f t="shared" si="0"/>
        <v>08/yyyy</v>
      </c>
      <c r="J61" s="3"/>
      <c r="K61" s="3"/>
      <c r="L61" s="3"/>
      <c r="M61" s="3"/>
      <c r="N61" s="3"/>
      <c r="O61" s="3"/>
      <c r="P61" s="3"/>
      <c r="Q61" s="3"/>
      <c r="R61" s="3"/>
      <c r="S61" s="3"/>
      <c r="T61" s="3"/>
      <c r="U61" s="3"/>
      <c r="V61" s="3"/>
      <c r="W61" s="3"/>
      <c r="X61" s="3"/>
      <c r="Y61" s="3"/>
      <c r="Z61" s="3"/>
    </row>
    <row r="62" spans="1:26">
      <c r="A62" s="12" t="s">
        <v>69</v>
      </c>
      <c r="B62" s="13">
        <v>405</v>
      </c>
      <c r="C62" s="13">
        <v>12939.27</v>
      </c>
      <c r="D62" s="13">
        <v>2</v>
      </c>
      <c r="E62" s="13">
        <v>44</v>
      </c>
      <c r="F62" s="13">
        <v>403</v>
      </c>
      <c r="G62" s="13">
        <v>12895.27</v>
      </c>
      <c r="H62" s="13">
        <v>32</v>
      </c>
      <c r="I62" s="3" t="str">
        <f t="shared" si="0"/>
        <v>08/yyyy</v>
      </c>
      <c r="J62" s="3"/>
      <c r="K62" s="3"/>
      <c r="L62" s="3"/>
      <c r="M62" s="3"/>
      <c r="N62" s="3"/>
      <c r="O62" s="3"/>
      <c r="P62" s="3"/>
      <c r="Q62" s="3"/>
      <c r="R62" s="3"/>
      <c r="S62" s="3"/>
      <c r="T62" s="3"/>
      <c r="U62" s="3"/>
      <c r="V62" s="3"/>
      <c r="W62" s="3"/>
      <c r="X62" s="3"/>
      <c r="Y62" s="3"/>
      <c r="Z62" s="3"/>
    </row>
    <row r="63" spans="1:26">
      <c r="A63" s="12" t="s">
        <v>70</v>
      </c>
      <c r="B63" s="13">
        <v>271</v>
      </c>
      <c r="C63" s="13">
        <v>8631.27</v>
      </c>
      <c r="D63" s="13">
        <v>9</v>
      </c>
      <c r="E63" s="13">
        <v>391.6</v>
      </c>
      <c r="F63" s="13">
        <v>262</v>
      </c>
      <c r="G63" s="13">
        <v>12895.27</v>
      </c>
      <c r="H63" s="13">
        <v>31.45</v>
      </c>
      <c r="I63" s="3" t="str">
        <f t="shared" si="0"/>
        <v>08/yyyy</v>
      </c>
      <c r="J63" s="3"/>
      <c r="K63" s="3"/>
      <c r="L63" s="3"/>
      <c r="M63" s="3"/>
      <c r="N63" s="3"/>
      <c r="O63" s="3"/>
      <c r="P63" s="3"/>
      <c r="Q63" s="3"/>
      <c r="R63" s="3"/>
      <c r="S63" s="3"/>
      <c r="T63" s="3"/>
      <c r="U63" s="3"/>
      <c r="V63" s="3"/>
      <c r="W63" s="3"/>
      <c r="X63" s="3"/>
      <c r="Y63" s="3"/>
      <c r="Z63" s="3"/>
    </row>
    <row r="64" spans="1:26">
      <c r="A64" s="12" t="s">
        <v>71</v>
      </c>
      <c r="B64" s="13">
        <v>266</v>
      </c>
      <c r="C64" s="13">
        <v>8396.91</v>
      </c>
      <c r="D64" s="13">
        <v>3</v>
      </c>
      <c r="E64" s="13">
        <v>85.5</v>
      </c>
      <c r="F64" s="13">
        <v>263</v>
      </c>
      <c r="G64" s="13">
        <v>8311.41</v>
      </c>
      <c r="H64" s="13">
        <v>31.6</v>
      </c>
      <c r="I64" s="3" t="str">
        <f t="shared" si="0"/>
        <v>09/yyyy</v>
      </c>
      <c r="J64" s="3"/>
      <c r="K64" s="3"/>
      <c r="L64" s="3"/>
      <c r="M64" s="3"/>
      <c r="N64" s="3"/>
      <c r="O64" s="3"/>
      <c r="P64" s="3"/>
      <c r="Q64" s="3"/>
      <c r="R64" s="3"/>
      <c r="S64" s="3"/>
      <c r="T64" s="3"/>
      <c r="U64" s="3"/>
      <c r="V64" s="3"/>
      <c r="W64" s="3"/>
      <c r="X64" s="3"/>
      <c r="Y64" s="3"/>
      <c r="Z64" s="3"/>
    </row>
    <row r="65" spans="1:26">
      <c r="A65" s="8" t="s">
        <v>72</v>
      </c>
      <c r="B65" s="3">
        <v>258</v>
      </c>
      <c r="C65" s="3">
        <v>7154.02</v>
      </c>
      <c r="D65" s="3">
        <v>3</v>
      </c>
      <c r="E65" s="3">
        <v>79</v>
      </c>
      <c r="F65" s="3">
        <v>255</v>
      </c>
      <c r="G65" s="3">
        <v>7075.02</v>
      </c>
      <c r="H65" s="3">
        <v>27.75</v>
      </c>
      <c r="I65" s="3" t="str">
        <f t="shared" si="0"/>
        <v>09/yyyy</v>
      </c>
      <c r="J65" s="3"/>
      <c r="K65" s="3"/>
      <c r="L65" s="3"/>
      <c r="M65" s="3"/>
      <c r="N65" s="3"/>
      <c r="O65" s="3"/>
      <c r="P65" s="3"/>
      <c r="Q65" s="3"/>
      <c r="R65" s="3"/>
      <c r="S65" s="3"/>
      <c r="T65" s="3"/>
      <c r="U65" s="3"/>
      <c r="V65" s="3"/>
      <c r="W65" s="3"/>
      <c r="X65" s="3"/>
      <c r="Y65" s="3"/>
      <c r="Z65" s="3"/>
    </row>
    <row r="66" spans="1:26">
      <c r="A66" s="8" t="s">
        <v>73</v>
      </c>
      <c r="B66" s="3">
        <v>247</v>
      </c>
      <c r="C66" s="3">
        <v>7541.14</v>
      </c>
      <c r="D66" s="3">
        <v>1</v>
      </c>
      <c r="E66" s="3">
        <v>28.5</v>
      </c>
      <c r="F66" s="3">
        <v>246</v>
      </c>
      <c r="G66" s="3">
        <v>7512.64</v>
      </c>
      <c r="H66" s="3">
        <v>30.54</v>
      </c>
      <c r="I66" s="3" t="str">
        <f t="shared" si="0"/>
        <v>09/yyyy</v>
      </c>
      <c r="J66" s="3"/>
      <c r="K66" s="3"/>
      <c r="L66" s="3"/>
      <c r="M66" s="3"/>
      <c r="N66" s="3"/>
      <c r="O66" s="3"/>
      <c r="P66" s="3"/>
      <c r="Q66" s="3"/>
      <c r="R66" s="3"/>
      <c r="S66" s="3"/>
      <c r="T66" s="3"/>
      <c r="U66" s="3"/>
      <c r="V66" s="3"/>
      <c r="W66" s="3"/>
      <c r="X66" s="3"/>
      <c r="Y66" s="3"/>
      <c r="Z66" s="3"/>
    </row>
    <row r="67" spans="1:26">
      <c r="A67" s="8" t="s">
        <v>74</v>
      </c>
      <c r="B67" s="3">
        <v>233</v>
      </c>
      <c r="C67" s="3">
        <v>6191.35</v>
      </c>
      <c r="D67" s="3">
        <v>2</v>
      </c>
      <c r="E67" s="3">
        <v>125.49</v>
      </c>
      <c r="F67" s="3">
        <v>231</v>
      </c>
      <c r="G67" s="3">
        <v>6065.86</v>
      </c>
      <c r="H67" s="3">
        <v>26.26</v>
      </c>
      <c r="I67" s="3" t="str">
        <f t="shared" si="0"/>
        <v>09/yyyy</v>
      </c>
      <c r="J67" s="3"/>
      <c r="K67" s="3"/>
      <c r="L67" s="3"/>
      <c r="M67" s="3"/>
      <c r="N67" s="3"/>
      <c r="O67" s="3"/>
      <c r="P67" s="3"/>
      <c r="Q67" s="3"/>
      <c r="R67" s="3"/>
      <c r="S67" s="3"/>
      <c r="T67" s="3"/>
      <c r="U67" s="3"/>
      <c r="V67" s="3"/>
      <c r="W67" s="3"/>
      <c r="X67" s="3"/>
      <c r="Y67" s="3"/>
      <c r="Z67" s="3"/>
    </row>
    <row r="68" spans="1:26">
      <c r="A68" s="8" t="s">
        <v>75</v>
      </c>
      <c r="B68" s="3">
        <v>328</v>
      </c>
      <c r="C68" s="3">
        <v>10996.8</v>
      </c>
      <c r="D68" s="3">
        <v>5</v>
      </c>
      <c r="E68" s="3">
        <v>170.9</v>
      </c>
      <c r="F68" s="3">
        <v>323</v>
      </c>
      <c r="G68" s="3">
        <v>10825.9</v>
      </c>
      <c r="H68" s="3">
        <v>33.520000000000003</v>
      </c>
      <c r="I68" s="3" t="str">
        <f t="shared" si="0"/>
        <v>09/yyyy</v>
      </c>
      <c r="J68" s="3"/>
      <c r="K68" s="3"/>
      <c r="L68" s="3"/>
      <c r="M68" s="3"/>
      <c r="N68" s="3"/>
      <c r="O68" s="3"/>
      <c r="P68" s="3"/>
      <c r="Q68" s="3"/>
      <c r="R68" s="3"/>
      <c r="S68" s="3"/>
      <c r="T68" s="3"/>
      <c r="U68" s="3"/>
      <c r="V68" s="3"/>
      <c r="W68" s="3"/>
      <c r="X68" s="3"/>
      <c r="Y68" s="3"/>
      <c r="Z68" s="3"/>
    </row>
    <row r="69" spans="1:26">
      <c r="A69" s="8" t="s">
        <v>76</v>
      </c>
      <c r="B69" s="3">
        <v>401</v>
      </c>
      <c r="C69" s="3">
        <v>13988.14</v>
      </c>
      <c r="D69" s="3">
        <v>2</v>
      </c>
      <c r="E69" s="3">
        <v>48.5</v>
      </c>
      <c r="F69" s="3">
        <v>399</v>
      </c>
      <c r="G69" s="3">
        <v>13939.64</v>
      </c>
      <c r="H69" s="3">
        <v>34.94</v>
      </c>
      <c r="I69" s="3" t="str">
        <f t="shared" si="0"/>
        <v>09/yyyy</v>
      </c>
      <c r="J69" s="3"/>
      <c r="K69" s="3"/>
      <c r="L69" s="3"/>
      <c r="M69" s="3"/>
      <c r="N69" s="3"/>
      <c r="O69" s="3"/>
      <c r="P69" s="3"/>
      <c r="Q69" s="3"/>
      <c r="R69" s="3"/>
      <c r="S69" s="3"/>
      <c r="T69" s="3"/>
      <c r="U69" s="3"/>
      <c r="V69" s="3"/>
      <c r="W69" s="3"/>
      <c r="X69" s="3"/>
      <c r="Y69" s="3"/>
      <c r="Z69" s="3"/>
    </row>
    <row r="70" spans="1:26">
      <c r="A70" s="8" t="s">
        <v>77</v>
      </c>
      <c r="B70" s="3">
        <v>211</v>
      </c>
      <c r="C70" s="3">
        <v>9165.92</v>
      </c>
      <c r="D70" s="3">
        <v>2</v>
      </c>
      <c r="E70" s="3">
        <v>316.5</v>
      </c>
      <c r="F70" s="3">
        <v>209</v>
      </c>
      <c r="G70" s="3">
        <v>8849.42</v>
      </c>
      <c r="H70" s="3">
        <v>42.34</v>
      </c>
      <c r="I70" s="3" t="str">
        <f t="shared" si="0"/>
        <v>09/yyyy</v>
      </c>
      <c r="J70" s="3"/>
      <c r="K70" s="3"/>
      <c r="L70" s="3"/>
      <c r="M70" s="3"/>
      <c r="N70" s="3"/>
      <c r="O70" s="3"/>
      <c r="P70" s="3"/>
      <c r="Q70" s="3"/>
      <c r="R70" s="3"/>
      <c r="S70" s="3"/>
      <c r="T70" s="3"/>
      <c r="U70" s="3"/>
      <c r="V70" s="3"/>
      <c r="W70" s="3"/>
      <c r="X70" s="3"/>
      <c r="Y70" s="3"/>
      <c r="Z70" s="3"/>
    </row>
    <row r="71" spans="1:26">
      <c r="A71" s="8" t="s">
        <v>78</v>
      </c>
      <c r="B71" s="3">
        <v>271</v>
      </c>
      <c r="C71" s="3">
        <v>8313.7999999999993</v>
      </c>
      <c r="D71" s="3">
        <v>7</v>
      </c>
      <c r="E71" s="3">
        <v>235.8</v>
      </c>
      <c r="F71" s="3">
        <v>264</v>
      </c>
      <c r="G71" s="3">
        <v>8078</v>
      </c>
      <c r="H71" s="3">
        <v>30.6</v>
      </c>
      <c r="I71" s="3" t="str">
        <f t="shared" si="0"/>
        <v>09/yyyy</v>
      </c>
      <c r="J71" s="3"/>
      <c r="K71" s="3"/>
      <c r="L71" s="3"/>
      <c r="M71" s="3"/>
      <c r="N71" s="3"/>
      <c r="O71" s="3"/>
      <c r="P71" s="3"/>
      <c r="Q71" s="3"/>
      <c r="R71" s="3"/>
      <c r="S71" s="3"/>
      <c r="T71" s="3"/>
      <c r="U71" s="3"/>
      <c r="V71" s="3"/>
      <c r="W71" s="3"/>
      <c r="X71" s="3"/>
      <c r="Y71" s="3"/>
      <c r="Z71" s="3"/>
    </row>
    <row r="72" spans="1:26">
      <c r="A72" s="8" t="s">
        <v>79</v>
      </c>
      <c r="B72" s="3">
        <v>248</v>
      </c>
      <c r="C72" s="3">
        <v>8080.07</v>
      </c>
      <c r="D72" s="3">
        <v>1</v>
      </c>
      <c r="E72" s="3">
        <v>38</v>
      </c>
      <c r="F72" s="3">
        <v>247</v>
      </c>
      <c r="G72" s="3">
        <v>8042.07</v>
      </c>
      <c r="H72" s="3">
        <v>32.56</v>
      </c>
      <c r="I72" s="3" t="str">
        <f t="shared" si="0"/>
        <v>09/yyyy</v>
      </c>
      <c r="J72" s="3"/>
      <c r="K72" s="3"/>
      <c r="L72" s="3"/>
      <c r="M72" s="3"/>
      <c r="N72" s="3"/>
      <c r="O72" s="3"/>
      <c r="P72" s="3"/>
      <c r="Q72" s="3"/>
      <c r="R72" s="3"/>
      <c r="S72" s="3"/>
      <c r="T72" s="3"/>
      <c r="U72" s="3"/>
      <c r="V72" s="3"/>
      <c r="W72" s="3"/>
      <c r="X72" s="3"/>
      <c r="Y72" s="3"/>
      <c r="Z72" s="3"/>
    </row>
    <row r="73" spans="1:26">
      <c r="A73" s="8" t="s">
        <v>80</v>
      </c>
      <c r="B73" s="3">
        <v>231</v>
      </c>
      <c r="C73" s="3">
        <v>8385.09</v>
      </c>
      <c r="D73" s="3">
        <v>1</v>
      </c>
      <c r="E73" s="3">
        <v>43.5</v>
      </c>
      <c r="F73" s="3">
        <v>230</v>
      </c>
      <c r="G73" s="3">
        <v>8341.59</v>
      </c>
      <c r="H73" s="3">
        <v>36.270000000000003</v>
      </c>
      <c r="I73" s="3" t="str">
        <f t="shared" si="0"/>
        <v>09/yyyy</v>
      </c>
      <c r="J73" s="3"/>
      <c r="K73" s="3"/>
      <c r="L73" s="3"/>
      <c r="M73" s="3"/>
      <c r="N73" s="3"/>
      <c r="O73" s="3"/>
      <c r="P73" s="3"/>
      <c r="Q73" s="3"/>
      <c r="R73" s="3"/>
      <c r="S73" s="3"/>
      <c r="T73" s="3"/>
      <c r="U73" s="3"/>
      <c r="V73" s="3"/>
      <c r="W73" s="3"/>
      <c r="X73" s="3"/>
      <c r="Y73" s="3"/>
      <c r="Z73" s="3"/>
    </row>
    <row r="74" spans="1:26">
      <c r="A74" s="8" t="s">
        <v>81</v>
      </c>
      <c r="B74" s="3">
        <v>234</v>
      </c>
      <c r="C74" s="3">
        <v>8379.7999999999993</v>
      </c>
      <c r="D74" s="3">
        <v>3</v>
      </c>
      <c r="E74" s="3">
        <v>72.03</v>
      </c>
      <c r="F74" s="3">
        <v>231</v>
      </c>
      <c r="G74" s="3">
        <v>8307.77</v>
      </c>
      <c r="H74" s="3">
        <v>35.96</v>
      </c>
      <c r="I74" s="3" t="str">
        <f t="shared" si="0"/>
        <v>09/yyyy</v>
      </c>
      <c r="J74" s="3"/>
      <c r="K74" s="3"/>
      <c r="L74" s="3"/>
      <c r="M74" s="3"/>
      <c r="N74" s="3"/>
      <c r="O74" s="3"/>
      <c r="P74" s="3"/>
      <c r="Q74" s="3"/>
      <c r="R74" s="3"/>
      <c r="S74" s="3"/>
      <c r="T74" s="3"/>
      <c r="U74" s="3"/>
      <c r="V74" s="3"/>
      <c r="W74" s="3"/>
      <c r="X74" s="3"/>
      <c r="Y74" s="3"/>
      <c r="Z74" s="3"/>
    </row>
    <row r="75" spans="1:26">
      <c r="A75" s="8" t="s">
        <v>82</v>
      </c>
      <c r="B75" s="3">
        <v>291</v>
      </c>
      <c r="C75" s="3">
        <v>9674.36</v>
      </c>
      <c r="D75" s="3">
        <v>1</v>
      </c>
      <c r="E75" s="3">
        <v>30</v>
      </c>
      <c r="F75" s="3">
        <v>290</v>
      </c>
      <c r="G75" s="3">
        <v>9644.39</v>
      </c>
      <c r="H75" s="3">
        <v>33.26</v>
      </c>
      <c r="I75" s="3" t="str">
        <f t="shared" si="0"/>
        <v>09/yyyy</v>
      </c>
      <c r="J75" s="3"/>
      <c r="K75" s="3"/>
      <c r="L75" s="3"/>
      <c r="M75" s="3"/>
      <c r="N75" s="3"/>
      <c r="O75" s="3"/>
      <c r="P75" s="3"/>
      <c r="Q75" s="3"/>
      <c r="R75" s="3"/>
      <c r="S75" s="3"/>
      <c r="T75" s="3"/>
      <c r="U75" s="3"/>
      <c r="V75" s="3"/>
      <c r="W75" s="3"/>
      <c r="X75" s="3"/>
      <c r="Y75" s="3"/>
      <c r="Z75" s="3"/>
    </row>
    <row r="76" spans="1:26">
      <c r="A76" s="8" t="s">
        <v>83</v>
      </c>
      <c r="B76" s="3">
        <v>367</v>
      </c>
      <c r="C76" s="3">
        <v>13163.57</v>
      </c>
      <c r="D76" s="3">
        <v>4</v>
      </c>
      <c r="E76" s="3">
        <v>177.5</v>
      </c>
      <c r="F76" s="3">
        <v>363</v>
      </c>
      <c r="G76" s="3">
        <v>12986.07</v>
      </c>
      <c r="H76" s="3">
        <v>35.770000000000003</v>
      </c>
      <c r="I76" s="3" t="str">
        <f t="shared" si="0"/>
        <v>09/yyyy</v>
      </c>
      <c r="J76" s="3"/>
      <c r="K76" s="3"/>
      <c r="L76" s="3"/>
      <c r="M76" s="3"/>
      <c r="N76" s="3"/>
      <c r="O76" s="3"/>
      <c r="P76" s="3"/>
      <c r="Q76" s="3"/>
      <c r="R76" s="3"/>
      <c r="S76" s="3"/>
      <c r="T76" s="3"/>
      <c r="U76" s="3"/>
      <c r="V76" s="3"/>
      <c r="W76" s="3"/>
      <c r="X76" s="3"/>
      <c r="Y76" s="3"/>
      <c r="Z76" s="3"/>
    </row>
    <row r="77" spans="1:26">
      <c r="A77" s="8" t="s">
        <v>84</v>
      </c>
      <c r="B77" s="3">
        <v>260</v>
      </c>
      <c r="C77" s="3">
        <v>8954.4599999999991</v>
      </c>
      <c r="D77" s="3">
        <v>3</v>
      </c>
      <c r="E77" s="3">
        <v>105</v>
      </c>
      <c r="F77" s="3">
        <v>257</v>
      </c>
      <c r="G77" s="3">
        <v>8849.4599999999991</v>
      </c>
      <c r="H77" s="3">
        <v>34.43</v>
      </c>
      <c r="I77" s="3" t="str">
        <f t="shared" si="0"/>
        <v>09/yyyy</v>
      </c>
      <c r="J77" s="3"/>
      <c r="K77" s="3"/>
      <c r="L77" s="3"/>
      <c r="M77" s="3"/>
      <c r="N77" s="3"/>
      <c r="O77" s="3"/>
      <c r="P77" s="3"/>
      <c r="Q77" s="3"/>
      <c r="R77" s="3"/>
      <c r="S77" s="3"/>
      <c r="T77" s="3"/>
      <c r="U77" s="3"/>
      <c r="V77" s="3"/>
      <c r="W77" s="3"/>
      <c r="X77" s="3"/>
      <c r="Y77" s="3"/>
      <c r="Z77" s="3"/>
    </row>
    <row r="78" spans="1:26">
      <c r="A78" s="8" t="s">
        <v>85</v>
      </c>
      <c r="B78" s="3">
        <v>256</v>
      </c>
      <c r="C78" s="3">
        <v>8651.7800000000007</v>
      </c>
      <c r="D78" s="3">
        <v>4</v>
      </c>
      <c r="E78" s="3">
        <v>264.32</v>
      </c>
      <c r="F78" s="3">
        <v>252</v>
      </c>
      <c r="G78" s="3">
        <v>8387.4599999999991</v>
      </c>
      <c r="H78" s="3">
        <v>33.28</v>
      </c>
      <c r="I78" s="3" t="str">
        <f t="shared" si="0"/>
        <v>09/yyyy</v>
      </c>
      <c r="J78" s="3"/>
      <c r="K78" s="3"/>
      <c r="L78" s="3"/>
      <c r="M78" s="3"/>
      <c r="N78" s="3"/>
      <c r="O78" s="3"/>
      <c r="P78" s="3"/>
      <c r="Q78" s="3"/>
      <c r="R78" s="3"/>
      <c r="S78" s="3"/>
      <c r="T78" s="3"/>
      <c r="U78" s="3"/>
      <c r="V78" s="3"/>
      <c r="W78" s="3"/>
      <c r="X78" s="3"/>
      <c r="Y78" s="3"/>
      <c r="Z78" s="3"/>
    </row>
    <row r="79" spans="1:26">
      <c r="A79" s="8" t="s">
        <v>86</v>
      </c>
      <c r="B79" s="3">
        <v>265</v>
      </c>
      <c r="C79" s="3">
        <v>9581.56</v>
      </c>
      <c r="D79" s="3">
        <v>9</v>
      </c>
      <c r="E79" s="3">
        <v>300</v>
      </c>
      <c r="F79" s="3">
        <v>256</v>
      </c>
      <c r="G79" s="3">
        <v>9281.56</v>
      </c>
      <c r="H79" s="3">
        <v>36.26</v>
      </c>
      <c r="I79" s="3" t="str">
        <f t="shared" si="0"/>
        <v>09/yyyy</v>
      </c>
      <c r="J79" s="3"/>
      <c r="K79" s="3"/>
      <c r="L79" s="3"/>
      <c r="M79" s="3"/>
      <c r="N79" s="3"/>
      <c r="O79" s="3"/>
      <c r="P79" s="3"/>
      <c r="Q79" s="3"/>
      <c r="R79" s="3"/>
      <c r="S79" s="3"/>
      <c r="T79" s="3"/>
      <c r="U79" s="3"/>
      <c r="V79" s="3"/>
      <c r="W79" s="3"/>
      <c r="X79" s="3"/>
      <c r="Y79" s="3"/>
      <c r="Z79" s="3"/>
    </row>
    <row r="80" spans="1:26">
      <c r="A80" s="8" t="s">
        <v>87</v>
      </c>
      <c r="B80" s="3">
        <v>244</v>
      </c>
      <c r="C80" s="3">
        <v>8460.81</v>
      </c>
      <c r="D80" s="3">
        <v>1</v>
      </c>
      <c r="E80" s="3">
        <v>30</v>
      </c>
      <c r="F80" s="3">
        <v>277</v>
      </c>
      <c r="G80" s="3">
        <v>8430.81</v>
      </c>
      <c r="H80" s="3">
        <v>30.44</v>
      </c>
      <c r="I80" s="3" t="str">
        <f t="shared" si="0"/>
        <v>09/yyyy</v>
      </c>
      <c r="J80" s="3"/>
      <c r="K80" s="3"/>
      <c r="L80" s="3"/>
      <c r="M80" s="3"/>
      <c r="N80" s="3"/>
      <c r="O80" s="3"/>
      <c r="P80" s="3"/>
      <c r="Q80" s="3"/>
      <c r="R80" s="3"/>
      <c r="S80" s="3"/>
      <c r="T80" s="3"/>
      <c r="U80" s="3"/>
      <c r="V80" s="3"/>
      <c r="W80" s="3"/>
      <c r="X80" s="3"/>
      <c r="Y80" s="3"/>
      <c r="Z80" s="3"/>
    </row>
    <row r="81" spans="1:26">
      <c r="A81" s="8" t="s">
        <v>88</v>
      </c>
      <c r="B81" s="3">
        <v>204</v>
      </c>
      <c r="C81" s="3">
        <v>6589.67</v>
      </c>
      <c r="D81" s="3">
        <v>1</v>
      </c>
      <c r="E81" s="3">
        <v>19</v>
      </c>
      <c r="F81" s="3">
        <v>203</v>
      </c>
      <c r="G81" s="3">
        <v>6570.67</v>
      </c>
      <c r="H81" s="3">
        <v>32.369999999999997</v>
      </c>
      <c r="I81" s="3" t="str">
        <f t="shared" si="0"/>
        <v>09/yyyy</v>
      </c>
      <c r="J81" s="3"/>
      <c r="K81" s="3"/>
      <c r="L81" s="3"/>
      <c r="M81" s="3"/>
      <c r="N81" s="3"/>
      <c r="O81" s="3"/>
      <c r="P81" s="3"/>
      <c r="Q81" s="3"/>
      <c r="R81" s="3"/>
      <c r="S81" s="3"/>
      <c r="T81" s="3"/>
      <c r="U81" s="3"/>
      <c r="V81" s="3"/>
      <c r="W81" s="3"/>
      <c r="X81" s="3"/>
      <c r="Y81" s="3"/>
      <c r="Z81" s="3"/>
    </row>
    <row r="82" spans="1:26">
      <c r="A82" s="8" t="s">
        <v>89</v>
      </c>
      <c r="B82" s="3">
        <v>280</v>
      </c>
      <c r="C82" s="3">
        <v>9206.39</v>
      </c>
      <c r="D82" s="3">
        <v>2</v>
      </c>
      <c r="E82" s="3">
        <v>168</v>
      </c>
      <c r="F82" s="3">
        <v>278</v>
      </c>
      <c r="G82" s="3">
        <v>9038.39</v>
      </c>
      <c r="H82" s="3">
        <v>32.51</v>
      </c>
      <c r="I82" s="3" t="str">
        <f t="shared" si="0"/>
        <v>09/yyyy</v>
      </c>
      <c r="J82" s="3"/>
      <c r="K82" s="3"/>
      <c r="L82" s="3"/>
      <c r="M82" s="3"/>
      <c r="N82" s="3"/>
      <c r="O82" s="3"/>
      <c r="P82" s="3"/>
      <c r="Q82" s="3"/>
      <c r="R82" s="3"/>
      <c r="S82" s="3"/>
      <c r="T82" s="3"/>
      <c r="U82" s="3"/>
      <c r="V82" s="3"/>
      <c r="W82" s="3"/>
      <c r="X82" s="3"/>
      <c r="Y82" s="3"/>
      <c r="Z82" s="3"/>
    </row>
    <row r="83" spans="1:26">
      <c r="A83" s="8" t="s">
        <v>90</v>
      </c>
      <c r="B83" s="3">
        <v>389</v>
      </c>
      <c r="C83" s="3">
        <v>12392.61</v>
      </c>
      <c r="D83" s="3">
        <v>2</v>
      </c>
      <c r="E83" s="3">
        <v>53.5</v>
      </c>
      <c r="F83" s="3">
        <v>387</v>
      </c>
      <c r="G83" s="3">
        <v>12339.11</v>
      </c>
      <c r="H83" s="3">
        <v>31.88</v>
      </c>
      <c r="I83" s="3" t="str">
        <f t="shared" si="0"/>
        <v>09/yyyy</v>
      </c>
      <c r="J83" s="3"/>
      <c r="K83" s="3"/>
      <c r="L83" s="3"/>
      <c r="M83" s="3"/>
      <c r="N83" s="3"/>
      <c r="O83" s="3"/>
      <c r="P83" s="3"/>
      <c r="Q83" s="3"/>
      <c r="R83" s="3"/>
      <c r="S83" s="3"/>
      <c r="T83" s="3"/>
      <c r="U83" s="3"/>
      <c r="V83" s="3"/>
      <c r="W83" s="3"/>
      <c r="X83" s="3"/>
      <c r="Y83" s="3"/>
      <c r="Z83" s="3"/>
    </row>
    <row r="84" spans="1:26">
      <c r="A84" s="8" t="s">
        <v>91</v>
      </c>
      <c r="B84" s="3">
        <v>236</v>
      </c>
      <c r="C84" s="3">
        <v>7518.05</v>
      </c>
      <c r="D84" s="3">
        <v>4</v>
      </c>
      <c r="E84" s="3">
        <v>329.5</v>
      </c>
      <c r="F84" s="3">
        <v>232</v>
      </c>
      <c r="G84" s="3">
        <v>7188.55</v>
      </c>
      <c r="H84" s="3">
        <v>30.99</v>
      </c>
      <c r="I84" s="3" t="str">
        <f t="shared" si="0"/>
        <v>09/yyyy</v>
      </c>
      <c r="J84" s="3"/>
      <c r="K84" s="3"/>
      <c r="L84" s="3"/>
      <c r="M84" s="3"/>
      <c r="N84" s="3"/>
      <c r="O84" s="3"/>
      <c r="P84" s="3"/>
      <c r="Q84" s="3"/>
      <c r="R84" s="3"/>
      <c r="S84" s="3"/>
      <c r="T84" s="3"/>
      <c r="U84" s="3"/>
      <c r="V84" s="3"/>
      <c r="W84" s="3"/>
      <c r="X84" s="3"/>
      <c r="Y84" s="3"/>
      <c r="Z84" s="3"/>
    </row>
    <row r="85" spans="1:26">
      <c r="A85" s="8" t="s">
        <v>92</v>
      </c>
      <c r="B85" s="3">
        <v>291</v>
      </c>
      <c r="C85" s="3">
        <v>9677.3700000000008</v>
      </c>
      <c r="D85" s="3">
        <v>1</v>
      </c>
      <c r="E85" s="3">
        <v>114.49</v>
      </c>
      <c r="F85" s="3">
        <v>290</v>
      </c>
      <c r="G85" s="3">
        <v>9562.8799999999992</v>
      </c>
      <c r="H85" s="3">
        <v>32.979999999999997</v>
      </c>
      <c r="I85" s="3" t="str">
        <f t="shared" si="0"/>
        <v>09/yyyy</v>
      </c>
      <c r="J85" s="3"/>
      <c r="K85" s="3"/>
      <c r="L85" s="3"/>
      <c r="M85" s="3"/>
      <c r="N85" s="3"/>
      <c r="O85" s="3"/>
      <c r="P85" s="3"/>
      <c r="Q85" s="3"/>
      <c r="R85" s="3"/>
      <c r="S85" s="3"/>
      <c r="T85" s="3"/>
      <c r="U85" s="3"/>
      <c r="V85" s="3"/>
      <c r="W85" s="3"/>
      <c r="X85" s="3"/>
      <c r="Y85" s="3"/>
      <c r="Z85" s="3"/>
    </row>
    <row r="86" spans="1:26">
      <c r="A86" s="8" t="s">
        <v>93</v>
      </c>
      <c r="B86" s="3">
        <v>253</v>
      </c>
      <c r="C86" s="3">
        <v>7000.07</v>
      </c>
      <c r="D86" s="3">
        <v>1</v>
      </c>
      <c r="E86" s="3">
        <v>34</v>
      </c>
      <c r="F86" s="3">
        <v>252</v>
      </c>
      <c r="G86" s="3">
        <v>6966.07</v>
      </c>
      <c r="H86" s="3">
        <v>27.64</v>
      </c>
      <c r="I86" s="3" t="str">
        <f t="shared" si="0"/>
        <v>09/yyyy</v>
      </c>
      <c r="J86" s="3"/>
      <c r="K86" s="3"/>
      <c r="L86" s="3"/>
      <c r="M86" s="3"/>
      <c r="N86" s="3"/>
      <c r="O86" s="3"/>
      <c r="P86" s="3"/>
      <c r="Q86" s="3"/>
      <c r="R86" s="3"/>
      <c r="S86" s="3"/>
      <c r="T86" s="3"/>
      <c r="U86" s="3"/>
      <c r="V86" s="3"/>
      <c r="W86" s="3"/>
      <c r="X86" s="3"/>
      <c r="Y86" s="3"/>
      <c r="Z86" s="3"/>
    </row>
    <row r="87" spans="1:26">
      <c r="A87" s="8" t="s">
        <v>94</v>
      </c>
      <c r="B87" s="3">
        <v>260</v>
      </c>
      <c r="C87" s="3">
        <v>8844.34</v>
      </c>
      <c r="D87" s="3">
        <v>1</v>
      </c>
      <c r="E87" s="3">
        <v>174</v>
      </c>
      <c r="F87" s="3">
        <v>259</v>
      </c>
      <c r="G87" s="3">
        <v>8670.34</v>
      </c>
      <c r="H87" s="3">
        <v>33.479999999999997</v>
      </c>
      <c r="I87" s="3" t="str">
        <f t="shared" si="0"/>
        <v>09/yyyy</v>
      </c>
      <c r="J87" s="3"/>
      <c r="K87" s="3"/>
      <c r="L87" s="3"/>
      <c r="M87" s="3"/>
      <c r="N87" s="3"/>
      <c r="O87" s="3"/>
      <c r="P87" s="3"/>
      <c r="Q87" s="3"/>
      <c r="R87" s="3"/>
      <c r="S87" s="3"/>
      <c r="T87" s="3"/>
      <c r="U87" s="3"/>
      <c r="V87" s="3"/>
      <c r="W87" s="3"/>
      <c r="X87" s="3"/>
      <c r="Y87" s="3"/>
      <c r="Z87" s="3"/>
    </row>
    <row r="88" spans="1:26">
      <c r="A88" s="8" t="s">
        <v>95</v>
      </c>
      <c r="B88" s="3">
        <v>242</v>
      </c>
      <c r="C88" s="3">
        <v>8012.41</v>
      </c>
      <c r="D88" s="3">
        <v>4</v>
      </c>
      <c r="E88" s="3">
        <v>39.5</v>
      </c>
      <c r="F88" s="3">
        <v>238</v>
      </c>
      <c r="G88" s="3">
        <v>7972.91</v>
      </c>
      <c r="H88" s="3">
        <v>33.5</v>
      </c>
      <c r="I88" s="3" t="str">
        <f t="shared" si="0"/>
        <v>09/yyyy</v>
      </c>
      <c r="J88" s="3"/>
      <c r="K88" s="3"/>
      <c r="L88" s="3"/>
      <c r="M88" s="3"/>
      <c r="N88" s="3"/>
      <c r="O88" s="3"/>
      <c r="P88" s="3"/>
      <c r="Q88" s="3"/>
      <c r="R88" s="3"/>
      <c r="S88" s="3"/>
      <c r="T88" s="3"/>
      <c r="U88" s="3"/>
      <c r="V88" s="3"/>
      <c r="W88" s="3"/>
      <c r="X88" s="3"/>
      <c r="Y88" s="3"/>
      <c r="Z88" s="3"/>
    </row>
    <row r="89" spans="1:26">
      <c r="A89" s="8" t="s">
        <v>96</v>
      </c>
      <c r="B89" s="3">
        <v>300</v>
      </c>
      <c r="C89" s="3">
        <v>8706.66</v>
      </c>
      <c r="D89" s="3">
        <v>2</v>
      </c>
      <c r="E89" s="3">
        <v>29</v>
      </c>
      <c r="F89" s="3">
        <v>298</v>
      </c>
      <c r="G89" s="3">
        <v>8677.66</v>
      </c>
      <c r="H89" s="3">
        <v>29.12</v>
      </c>
      <c r="I89" s="3" t="str">
        <f t="shared" si="0"/>
        <v>09/yyyy</v>
      </c>
      <c r="J89" s="3"/>
      <c r="K89" s="3"/>
      <c r="L89" s="3"/>
      <c r="M89" s="3"/>
      <c r="N89" s="3"/>
      <c r="O89" s="3"/>
      <c r="P89" s="3"/>
      <c r="Q89" s="3"/>
      <c r="R89" s="3"/>
      <c r="S89" s="3"/>
      <c r="T89" s="3"/>
      <c r="U89" s="3"/>
      <c r="V89" s="3"/>
      <c r="W89" s="3"/>
      <c r="X89" s="3"/>
      <c r="Y89" s="3"/>
      <c r="Z89" s="3"/>
    </row>
    <row r="90" spans="1:26">
      <c r="A90" s="8" t="s">
        <v>97</v>
      </c>
      <c r="B90" s="3">
        <v>388</v>
      </c>
      <c r="C90" s="3">
        <v>11830.72</v>
      </c>
      <c r="D90" s="3">
        <v>8</v>
      </c>
      <c r="E90" s="3">
        <v>164.5</v>
      </c>
      <c r="F90" s="3">
        <v>380</v>
      </c>
      <c r="G90" s="3">
        <v>11666.22</v>
      </c>
      <c r="H90" s="3">
        <v>30.7</v>
      </c>
      <c r="I90" s="3" t="str">
        <f t="shared" si="0"/>
        <v>09/yyyy</v>
      </c>
      <c r="J90" s="3"/>
      <c r="K90" s="3"/>
      <c r="L90" s="3"/>
      <c r="M90" s="3"/>
      <c r="N90" s="3"/>
      <c r="O90" s="3"/>
      <c r="P90" s="3"/>
      <c r="Q90" s="3"/>
      <c r="R90" s="3"/>
      <c r="S90" s="3"/>
      <c r="T90" s="3"/>
      <c r="U90" s="3"/>
      <c r="V90" s="3"/>
      <c r="W90" s="3"/>
      <c r="X90" s="3"/>
      <c r="Y90" s="3"/>
      <c r="Z90" s="3"/>
    </row>
    <row r="91" spans="1:26">
      <c r="A91" s="8" t="s">
        <v>98</v>
      </c>
      <c r="B91" s="3">
        <v>267</v>
      </c>
      <c r="C91" s="3">
        <v>9652.8799999999992</v>
      </c>
      <c r="D91" s="3">
        <v>1</v>
      </c>
      <c r="E91" s="3">
        <v>74</v>
      </c>
      <c r="F91" s="3">
        <v>266</v>
      </c>
      <c r="G91" s="3">
        <v>9578.8799999999992</v>
      </c>
      <c r="H91" s="3">
        <v>36.01</v>
      </c>
      <c r="I91" s="3" t="str">
        <f t="shared" si="0"/>
        <v>09/yyyy</v>
      </c>
      <c r="J91" s="3"/>
      <c r="K91" s="3"/>
      <c r="L91" s="3"/>
      <c r="M91" s="3"/>
      <c r="N91" s="3"/>
      <c r="O91" s="3"/>
      <c r="P91" s="3"/>
      <c r="Q91" s="3"/>
      <c r="R91" s="3"/>
      <c r="S91" s="3"/>
      <c r="T91" s="3"/>
      <c r="U91" s="3"/>
      <c r="V91" s="3"/>
      <c r="W91" s="3"/>
      <c r="X91" s="3"/>
      <c r="Y91" s="3"/>
      <c r="Z91" s="3"/>
    </row>
    <row r="92" spans="1:26">
      <c r="A92" s="8" t="s">
        <v>99</v>
      </c>
      <c r="B92" s="3">
        <v>304</v>
      </c>
      <c r="C92" s="3">
        <v>9325.02</v>
      </c>
      <c r="D92" s="3">
        <v>4</v>
      </c>
      <c r="E92" s="3">
        <v>102.1</v>
      </c>
      <c r="F92" s="3">
        <v>300</v>
      </c>
      <c r="G92" s="3">
        <v>9222.92</v>
      </c>
      <c r="H92" s="3">
        <v>30.74</v>
      </c>
      <c r="I92" s="3" t="str">
        <f t="shared" si="0"/>
        <v>09/yyyy</v>
      </c>
      <c r="J92" s="3"/>
      <c r="K92" s="3"/>
      <c r="L92" s="3"/>
      <c r="M92" s="3"/>
      <c r="N92" s="3"/>
      <c r="O92" s="3"/>
      <c r="P92" s="3"/>
      <c r="Q92" s="3"/>
      <c r="R92" s="3"/>
      <c r="S92" s="3"/>
      <c r="T92" s="3"/>
      <c r="U92" s="3"/>
      <c r="V92" s="3"/>
      <c r="W92" s="3"/>
      <c r="X92" s="3"/>
      <c r="Y92" s="3"/>
      <c r="Z92" s="3"/>
    </row>
    <row r="93" spans="1:26">
      <c r="A93" s="8" t="s">
        <v>100</v>
      </c>
      <c r="B93" s="3">
        <v>274</v>
      </c>
      <c r="C93" s="3">
        <v>9338.15</v>
      </c>
      <c r="D93" s="3">
        <v>2</v>
      </c>
      <c r="E93" s="3">
        <v>13</v>
      </c>
      <c r="F93" s="3">
        <v>272</v>
      </c>
      <c r="G93" s="3">
        <v>9325.15</v>
      </c>
      <c r="H93" s="3">
        <v>34.28</v>
      </c>
      <c r="I93" s="3" t="str">
        <f t="shared" si="0"/>
        <v>09/yyyy</v>
      </c>
      <c r="J93" s="3"/>
      <c r="K93" s="3"/>
      <c r="L93" s="3"/>
      <c r="M93" s="3"/>
      <c r="N93" s="3"/>
      <c r="O93" s="3"/>
      <c r="P93" s="3"/>
      <c r="Q93" s="3"/>
      <c r="R93" s="3"/>
      <c r="S93" s="3"/>
      <c r="T93" s="3"/>
      <c r="U93" s="3"/>
      <c r="V93" s="3"/>
      <c r="W93" s="3"/>
      <c r="X93" s="3"/>
      <c r="Y93" s="3"/>
      <c r="Z93" s="3"/>
    </row>
    <row r="94" spans="1:26">
      <c r="A94" s="8" t="s">
        <v>101</v>
      </c>
      <c r="B94" s="3">
        <v>325</v>
      </c>
      <c r="C94" s="3">
        <v>10634.6</v>
      </c>
      <c r="D94" s="3">
        <v>3</v>
      </c>
      <c r="E94" s="3">
        <v>158</v>
      </c>
      <c r="F94" s="3">
        <v>322</v>
      </c>
      <c r="G94" s="3">
        <v>10476.6</v>
      </c>
      <c r="H94" s="3">
        <v>32.54</v>
      </c>
      <c r="I94" s="3" t="str">
        <f t="shared" si="0"/>
        <v>10/yyyy</v>
      </c>
      <c r="J94" s="3"/>
      <c r="K94" s="3"/>
      <c r="L94" s="3"/>
      <c r="M94" s="3"/>
      <c r="N94" s="3"/>
      <c r="O94" s="3"/>
      <c r="P94" s="3"/>
      <c r="Q94" s="3"/>
      <c r="R94" s="3"/>
      <c r="S94" s="3"/>
      <c r="T94" s="3"/>
      <c r="U94" s="3"/>
      <c r="V94" s="3"/>
      <c r="W94" s="3"/>
      <c r="X94" s="3"/>
      <c r="Y94" s="3"/>
      <c r="Z94" s="3"/>
    </row>
    <row r="95" spans="1:26">
      <c r="A95" s="8" t="s">
        <v>102</v>
      </c>
      <c r="B95" s="3">
        <v>286</v>
      </c>
      <c r="C95" s="3">
        <v>9227.83</v>
      </c>
      <c r="D95" s="3">
        <v>5</v>
      </c>
      <c r="E95" s="3">
        <v>189</v>
      </c>
      <c r="F95" s="3">
        <v>281</v>
      </c>
      <c r="G95" s="3">
        <v>9038.83</v>
      </c>
      <c r="H95" s="3">
        <v>32.17</v>
      </c>
      <c r="I95" s="3" t="str">
        <f t="shared" si="0"/>
        <v>10/yyyy</v>
      </c>
      <c r="J95" s="3"/>
      <c r="K95" s="3"/>
      <c r="L95" s="3"/>
      <c r="M95" s="3"/>
      <c r="N95" s="3"/>
      <c r="O95" s="3"/>
      <c r="P95" s="3"/>
      <c r="Q95" s="3"/>
      <c r="R95" s="3"/>
      <c r="S95" s="3"/>
      <c r="T95" s="3"/>
      <c r="U95" s="3"/>
      <c r="V95" s="3"/>
      <c r="W95" s="3"/>
      <c r="X95" s="3"/>
      <c r="Y95" s="3"/>
      <c r="Z95" s="3"/>
    </row>
    <row r="96" spans="1:26">
      <c r="A96" s="8" t="s">
        <v>103</v>
      </c>
      <c r="B96" s="3">
        <v>351</v>
      </c>
      <c r="C96" s="3">
        <v>13159.56</v>
      </c>
      <c r="D96" s="3">
        <v>5</v>
      </c>
      <c r="E96" s="3">
        <v>228.49</v>
      </c>
      <c r="F96" s="3">
        <v>346</v>
      </c>
      <c r="G96" s="3">
        <v>12931.07</v>
      </c>
      <c r="H96" s="3">
        <v>37.369999999999997</v>
      </c>
      <c r="I96" s="3" t="str">
        <f t="shared" si="0"/>
        <v>10/yyyy</v>
      </c>
      <c r="J96" s="3"/>
      <c r="K96" s="3"/>
      <c r="L96" s="3"/>
      <c r="M96" s="3"/>
      <c r="N96" s="3"/>
      <c r="O96" s="3"/>
      <c r="P96" s="3"/>
      <c r="Q96" s="3"/>
      <c r="R96" s="3"/>
      <c r="S96" s="3"/>
      <c r="T96" s="3"/>
      <c r="U96" s="3"/>
      <c r="V96" s="3"/>
      <c r="W96" s="3"/>
      <c r="X96" s="3"/>
      <c r="Y96" s="3"/>
      <c r="Z96" s="3"/>
    </row>
    <row r="97" spans="1:26">
      <c r="A97" s="8" t="s">
        <v>104</v>
      </c>
      <c r="B97" s="3">
        <v>442</v>
      </c>
      <c r="C97" s="3">
        <v>14232.65</v>
      </c>
      <c r="D97" s="3">
        <v>5</v>
      </c>
      <c r="E97" s="3">
        <v>177</v>
      </c>
      <c r="F97" s="3">
        <v>437</v>
      </c>
      <c r="G97" s="3">
        <v>14055.65</v>
      </c>
      <c r="H97" s="3">
        <v>32.159999999999997</v>
      </c>
      <c r="I97" s="3" t="str">
        <f t="shared" si="0"/>
        <v>10/yyyy</v>
      </c>
      <c r="J97" s="3"/>
      <c r="K97" s="3"/>
      <c r="L97" s="3"/>
      <c r="M97" s="3"/>
      <c r="N97" s="3"/>
      <c r="O97" s="3"/>
      <c r="P97" s="3"/>
      <c r="Q97" s="3"/>
      <c r="R97" s="3"/>
      <c r="S97" s="3"/>
      <c r="T97" s="3"/>
      <c r="U97" s="3"/>
      <c r="V97" s="3"/>
      <c r="W97" s="3"/>
      <c r="X97" s="3"/>
      <c r="Y97" s="3"/>
      <c r="Z97" s="3"/>
    </row>
    <row r="98" spans="1:26">
      <c r="A98" s="8" t="s">
        <v>105</v>
      </c>
      <c r="B98" s="3">
        <v>274</v>
      </c>
      <c r="C98" s="3">
        <v>10492.06</v>
      </c>
      <c r="D98" s="3">
        <v>0</v>
      </c>
      <c r="E98" s="3">
        <v>0</v>
      </c>
      <c r="F98" s="3">
        <v>274</v>
      </c>
      <c r="G98" s="3">
        <v>10492.06</v>
      </c>
      <c r="H98" s="3">
        <v>38.29</v>
      </c>
      <c r="I98" s="3" t="str">
        <f t="shared" si="0"/>
        <v>10/yyyy</v>
      </c>
      <c r="J98" s="3"/>
      <c r="K98" s="3"/>
      <c r="L98" s="3"/>
      <c r="M98" s="3"/>
      <c r="N98" s="3"/>
      <c r="O98" s="3"/>
      <c r="P98" s="3"/>
      <c r="Q98" s="3"/>
      <c r="R98" s="3"/>
      <c r="S98" s="3"/>
      <c r="T98" s="3"/>
      <c r="U98" s="3"/>
      <c r="V98" s="3"/>
      <c r="W98" s="3"/>
      <c r="X98" s="3"/>
      <c r="Y98" s="3"/>
      <c r="Z98" s="3"/>
    </row>
    <row r="99" spans="1:26">
      <c r="A99" s="8" t="s">
        <v>106</v>
      </c>
      <c r="B99" s="3">
        <v>317</v>
      </c>
      <c r="C99" s="3">
        <v>9913.27</v>
      </c>
      <c r="D99" s="3">
        <v>7</v>
      </c>
      <c r="E99" s="3">
        <v>151.19999999999999</v>
      </c>
      <c r="F99" s="3">
        <v>310</v>
      </c>
      <c r="G99" s="3">
        <v>9762.07</v>
      </c>
      <c r="H99" s="3">
        <v>31.49</v>
      </c>
      <c r="I99" s="3" t="str">
        <f t="shared" si="0"/>
        <v>10/yyyy</v>
      </c>
      <c r="J99" s="3"/>
      <c r="K99" s="3"/>
      <c r="L99" s="3"/>
      <c r="M99" s="3"/>
      <c r="N99" s="3"/>
      <c r="O99" s="3"/>
      <c r="P99" s="3"/>
      <c r="Q99" s="3"/>
      <c r="R99" s="3"/>
      <c r="S99" s="3"/>
      <c r="T99" s="3"/>
      <c r="U99" s="3"/>
      <c r="V99" s="3"/>
      <c r="W99" s="3"/>
      <c r="X99" s="3"/>
      <c r="Y99" s="3"/>
      <c r="Z99" s="3"/>
    </row>
    <row r="100" spans="1:26">
      <c r="A100" s="8" t="s">
        <v>107</v>
      </c>
      <c r="B100" s="3">
        <v>244</v>
      </c>
      <c r="C100" s="3">
        <v>7617.21</v>
      </c>
      <c r="D100" s="3">
        <v>4</v>
      </c>
      <c r="E100" s="3">
        <v>225.19</v>
      </c>
      <c r="F100" s="3">
        <v>240</v>
      </c>
      <c r="G100" s="3">
        <v>7392.02</v>
      </c>
      <c r="H100" s="3">
        <v>30.8</v>
      </c>
      <c r="I100" s="3" t="str">
        <f t="shared" si="0"/>
        <v>10/yyyy</v>
      </c>
      <c r="J100" s="3"/>
      <c r="K100" s="3"/>
      <c r="L100" s="3"/>
      <c r="M100" s="3"/>
      <c r="N100" s="3"/>
      <c r="O100" s="3"/>
      <c r="P100" s="3"/>
      <c r="Q100" s="3"/>
      <c r="R100" s="3"/>
      <c r="S100" s="3"/>
      <c r="T100" s="3"/>
      <c r="U100" s="3"/>
      <c r="V100" s="3"/>
      <c r="W100" s="3"/>
      <c r="X100" s="3"/>
      <c r="Y100" s="3"/>
      <c r="Z100" s="3"/>
    </row>
    <row r="101" spans="1:26">
      <c r="A101" s="8" t="s">
        <v>108</v>
      </c>
      <c r="B101" s="3">
        <v>291</v>
      </c>
      <c r="C101" s="3">
        <v>10085.01</v>
      </c>
      <c r="D101" s="3">
        <v>4</v>
      </c>
      <c r="E101" s="3">
        <v>91.1</v>
      </c>
      <c r="F101" s="3">
        <v>287</v>
      </c>
      <c r="G101" s="3">
        <v>9993.91</v>
      </c>
      <c r="H101" s="3">
        <v>34.82</v>
      </c>
      <c r="I101" s="3" t="str">
        <f t="shared" si="0"/>
        <v>10/yyyy</v>
      </c>
      <c r="J101" s="3"/>
      <c r="K101" s="3"/>
      <c r="L101" s="3"/>
      <c r="M101" s="3"/>
      <c r="N101" s="3"/>
      <c r="O101" s="3"/>
      <c r="P101" s="3"/>
      <c r="Q101" s="3"/>
      <c r="R101" s="3"/>
      <c r="S101" s="3"/>
      <c r="T101" s="3"/>
      <c r="U101" s="3"/>
      <c r="V101" s="3"/>
      <c r="W101" s="3"/>
      <c r="X101" s="3"/>
      <c r="Y101" s="3"/>
      <c r="Z101" s="3"/>
    </row>
    <row r="102" spans="1:26">
      <c r="A102" s="8" t="s">
        <v>109</v>
      </c>
      <c r="B102" s="3">
        <v>232</v>
      </c>
      <c r="C102" s="3">
        <v>7956.1</v>
      </c>
      <c r="D102" s="3">
        <v>2</v>
      </c>
      <c r="E102" s="3">
        <v>34.4</v>
      </c>
      <c r="F102" s="3">
        <v>230</v>
      </c>
      <c r="G102" s="3">
        <v>7921.7</v>
      </c>
      <c r="H102" s="3">
        <v>34.44</v>
      </c>
      <c r="I102" s="3" t="str">
        <f t="shared" si="0"/>
        <v>10/yyyy</v>
      </c>
      <c r="J102" s="3"/>
      <c r="K102" s="3"/>
      <c r="L102" s="3"/>
      <c r="M102" s="3"/>
      <c r="N102" s="3"/>
      <c r="O102" s="3"/>
      <c r="P102" s="3"/>
      <c r="Q102" s="3"/>
      <c r="R102" s="3"/>
      <c r="S102" s="3"/>
      <c r="T102" s="3"/>
      <c r="U102" s="3"/>
      <c r="V102" s="3"/>
      <c r="W102" s="3"/>
      <c r="X102" s="3"/>
      <c r="Y102" s="3"/>
      <c r="Z102" s="3"/>
    </row>
    <row r="103" spans="1:26">
      <c r="A103" s="8" t="s">
        <v>110</v>
      </c>
      <c r="B103" s="3">
        <v>323</v>
      </c>
      <c r="C103" s="3">
        <v>10389.01</v>
      </c>
      <c r="D103" s="3">
        <v>8</v>
      </c>
      <c r="E103" s="3">
        <v>205.38</v>
      </c>
      <c r="F103" s="3">
        <v>315</v>
      </c>
      <c r="G103" s="3">
        <v>10183.629999999999</v>
      </c>
      <c r="H103" s="3">
        <v>32.33</v>
      </c>
      <c r="I103" s="3" t="str">
        <f t="shared" si="0"/>
        <v>10/yyyy</v>
      </c>
      <c r="J103" s="3"/>
      <c r="K103" s="3"/>
      <c r="L103" s="3"/>
      <c r="M103" s="3"/>
      <c r="N103" s="3"/>
      <c r="O103" s="3"/>
      <c r="P103" s="3"/>
      <c r="Q103" s="3"/>
      <c r="R103" s="3"/>
      <c r="S103" s="3"/>
      <c r="T103" s="3"/>
      <c r="U103" s="3"/>
      <c r="V103" s="3"/>
      <c r="W103" s="3"/>
      <c r="X103" s="3"/>
      <c r="Y103" s="3"/>
      <c r="Z103" s="3"/>
    </row>
    <row r="104" spans="1:26">
      <c r="A104" s="8" t="s">
        <v>111</v>
      </c>
      <c r="B104" s="3">
        <v>382</v>
      </c>
      <c r="C104" s="3">
        <v>14035.69</v>
      </c>
      <c r="D104" s="3">
        <v>0</v>
      </c>
      <c r="E104" s="3">
        <v>0</v>
      </c>
      <c r="F104" s="3">
        <v>382</v>
      </c>
      <c r="G104" s="3">
        <v>14035.69</v>
      </c>
      <c r="H104" s="3">
        <v>36.74</v>
      </c>
      <c r="I104" s="3" t="str">
        <f t="shared" si="0"/>
        <v>10/yyyy</v>
      </c>
      <c r="J104" s="3"/>
      <c r="K104" s="3"/>
      <c r="L104" s="3"/>
      <c r="M104" s="3"/>
      <c r="N104" s="3"/>
      <c r="O104" s="3"/>
      <c r="P104" s="3"/>
      <c r="Q104" s="3"/>
      <c r="R104" s="3"/>
      <c r="S104" s="3"/>
      <c r="T104" s="3"/>
      <c r="U104" s="3"/>
      <c r="V104" s="3"/>
      <c r="W104" s="3"/>
      <c r="X104" s="3"/>
      <c r="Y104" s="3"/>
      <c r="Z104" s="3"/>
    </row>
    <row r="105" spans="1:26">
      <c r="A105" s="8" t="s">
        <v>112</v>
      </c>
      <c r="B105" s="3">
        <v>269</v>
      </c>
      <c r="C105" s="3">
        <v>10715.96</v>
      </c>
      <c r="D105" s="3">
        <v>4</v>
      </c>
      <c r="E105" s="3">
        <v>150</v>
      </c>
      <c r="F105" s="3">
        <v>265</v>
      </c>
      <c r="G105" s="3">
        <v>10565.96</v>
      </c>
      <c r="H105" s="3">
        <v>39.869999999999997</v>
      </c>
      <c r="I105" s="3" t="str">
        <f t="shared" si="0"/>
        <v>10/yyyy</v>
      </c>
      <c r="J105" s="3"/>
      <c r="K105" s="3"/>
      <c r="L105" s="3"/>
      <c r="M105" s="3"/>
      <c r="N105" s="3"/>
      <c r="O105" s="3"/>
      <c r="P105" s="3"/>
      <c r="Q105" s="3"/>
      <c r="R105" s="3"/>
      <c r="S105" s="3"/>
      <c r="T105" s="3"/>
      <c r="U105" s="3"/>
      <c r="V105" s="3"/>
      <c r="W105" s="3"/>
      <c r="X105" s="3"/>
      <c r="Y105" s="3"/>
      <c r="Z105" s="3"/>
    </row>
    <row r="106" spans="1:26">
      <c r="A106" s="8" t="s">
        <v>113</v>
      </c>
      <c r="B106" s="3">
        <v>258</v>
      </c>
      <c r="C106" s="3">
        <v>7851.73</v>
      </c>
      <c r="D106" s="3">
        <v>8</v>
      </c>
      <c r="E106" s="3">
        <v>310</v>
      </c>
      <c r="F106" s="3">
        <v>250</v>
      </c>
      <c r="G106" s="3">
        <v>7541.73</v>
      </c>
      <c r="H106" s="3">
        <v>30.17</v>
      </c>
      <c r="I106" s="3" t="str">
        <f t="shared" si="0"/>
        <v>10/yyyy</v>
      </c>
      <c r="J106" s="3"/>
      <c r="K106" s="3"/>
      <c r="L106" s="3"/>
      <c r="M106" s="3"/>
      <c r="N106" s="3"/>
      <c r="O106" s="3"/>
      <c r="P106" s="3"/>
      <c r="Q106" s="3"/>
      <c r="R106" s="3"/>
      <c r="S106" s="3"/>
      <c r="T106" s="3"/>
      <c r="U106" s="3"/>
      <c r="V106" s="3"/>
      <c r="W106" s="3"/>
      <c r="X106" s="3"/>
      <c r="Y106" s="3"/>
      <c r="Z106" s="3"/>
    </row>
    <row r="107" spans="1:26">
      <c r="A107" s="8" t="s">
        <v>114</v>
      </c>
      <c r="B107" s="3">
        <v>211</v>
      </c>
      <c r="C107" s="3">
        <v>6254.17</v>
      </c>
      <c r="D107" s="3">
        <v>1</v>
      </c>
      <c r="E107" s="3">
        <v>14</v>
      </c>
      <c r="F107" s="3">
        <v>210</v>
      </c>
      <c r="G107" s="3">
        <v>6240.17</v>
      </c>
      <c r="H107" s="3">
        <v>29.72</v>
      </c>
      <c r="I107" s="3" t="str">
        <f t="shared" si="0"/>
        <v>10/yyyy</v>
      </c>
      <c r="J107" s="3"/>
      <c r="K107" s="3"/>
      <c r="L107" s="3"/>
      <c r="M107" s="3"/>
      <c r="N107" s="3"/>
      <c r="O107" s="3"/>
      <c r="P107" s="3"/>
      <c r="Q107" s="3"/>
      <c r="R107" s="3"/>
      <c r="S107" s="3"/>
      <c r="T107" s="3"/>
      <c r="U107" s="3"/>
      <c r="V107" s="3"/>
      <c r="W107" s="3"/>
      <c r="X107" s="3"/>
      <c r="Y107" s="3"/>
      <c r="Z107" s="3"/>
    </row>
    <row r="108" spans="1:26">
      <c r="A108" s="8" t="s">
        <v>115</v>
      </c>
      <c r="B108" s="3">
        <v>297</v>
      </c>
      <c r="C108" s="3">
        <v>9160.89</v>
      </c>
      <c r="D108" s="3">
        <v>0</v>
      </c>
      <c r="E108" s="3">
        <v>0</v>
      </c>
      <c r="F108" s="3">
        <v>297</v>
      </c>
      <c r="G108" s="3">
        <v>9160.89</v>
      </c>
      <c r="H108" s="3">
        <v>30.84</v>
      </c>
      <c r="I108" s="3" t="str">
        <f t="shared" si="0"/>
        <v>10/yyyy</v>
      </c>
      <c r="J108" s="3"/>
      <c r="K108" s="3"/>
      <c r="L108" s="3"/>
      <c r="M108" s="3"/>
      <c r="N108" s="3"/>
      <c r="O108" s="3"/>
      <c r="P108" s="3"/>
      <c r="Q108" s="3"/>
      <c r="R108" s="3"/>
      <c r="S108" s="3"/>
      <c r="T108" s="3"/>
      <c r="U108" s="3"/>
      <c r="V108" s="3"/>
      <c r="W108" s="3"/>
      <c r="X108" s="3"/>
      <c r="Y108" s="3"/>
      <c r="Z108" s="3"/>
    </row>
    <row r="109" spans="1:26">
      <c r="A109" s="8" t="s">
        <v>116</v>
      </c>
      <c r="B109" s="3">
        <v>249</v>
      </c>
      <c r="C109" s="3">
        <v>7757.72</v>
      </c>
      <c r="D109" s="3">
        <v>0</v>
      </c>
      <c r="E109" s="3">
        <v>0</v>
      </c>
      <c r="F109" s="3">
        <v>249</v>
      </c>
      <c r="G109" s="3">
        <v>7757.72</v>
      </c>
      <c r="H109" s="3">
        <v>31.16</v>
      </c>
      <c r="I109" s="3" t="str">
        <f t="shared" si="0"/>
        <v>10/yyyy</v>
      </c>
      <c r="J109" s="3"/>
      <c r="K109" s="3"/>
      <c r="L109" s="3"/>
      <c r="M109" s="3"/>
      <c r="N109" s="3"/>
      <c r="O109" s="3"/>
      <c r="P109" s="3"/>
      <c r="Q109" s="3"/>
      <c r="R109" s="3"/>
      <c r="S109" s="3"/>
      <c r="T109" s="3"/>
      <c r="U109" s="3"/>
      <c r="V109" s="3"/>
      <c r="W109" s="3"/>
      <c r="X109" s="3"/>
      <c r="Y109" s="3"/>
      <c r="Z109" s="3"/>
    </row>
    <row r="110" spans="1:26">
      <c r="A110" s="8" t="s">
        <v>117</v>
      </c>
      <c r="B110" s="3">
        <v>263</v>
      </c>
      <c r="C110" s="3">
        <v>8503.93</v>
      </c>
      <c r="D110" s="3">
        <v>2</v>
      </c>
      <c r="E110" s="3">
        <v>138.69999999999999</v>
      </c>
      <c r="F110" s="3">
        <v>261</v>
      </c>
      <c r="G110" s="3">
        <v>8365.23</v>
      </c>
      <c r="H110" s="3">
        <v>32.049999999999997</v>
      </c>
      <c r="I110" s="3" t="str">
        <f t="shared" si="0"/>
        <v>10/yyyy</v>
      </c>
      <c r="J110" s="3"/>
      <c r="K110" s="3"/>
      <c r="L110" s="3"/>
      <c r="M110" s="3"/>
      <c r="N110" s="3"/>
      <c r="O110" s="3"/>
      <c r="P110" s="3"/>
      <c r="Q110" s="3"/>
      <c r="R110" s="3"/>
      <c r="S110" s="3"/>
      <c r="T110" s="3"/>
      <c r="U110" s="3"/>
      <c r="V110" s="3"/>
      <c r="W110" s="3"/>
      <c r="X110" s="3"/>
      <c r="Y110" s="3"/>
      <c r="Z110" s="3"/>
    </row>
    <row r="111" spans="1:26">
      <c r="A111" s="8" t="s">
        <v>118</v>
      </c>
      <c r="B111" s="3">
        <v>388</v>
      </c>
      <c r="C111" s="3">
        <v>14797.31</v>
      </c>
      <c r="D111" s="3">
        <v>2</v>
      </c>
      <c r="E111" s="3">
        <v>83</v>
      </c>
      <c r="F111" s="3">
        <v>386</v>
      </c>
      <c r="G111" s="3">
        <v>14714.31</v>
      </c>
      <c r="H111" s="3">
        <v>38.119999999999997</v>
      </c>
      <c r="I111" s="3" t="str">
        <f t="shared" si="0"/>
        <v>10/yyyy</v>
      </c>
      <c r="J111" s="3"/>
      <c r="K111" s="3"/>
      <c r="L111" s="3"/>
      <c r="M111" s="3"/>
      <c r="N111" s="3"/>
      <c r="O111" s="3"/>
      <c r="P111" s="3"/>
      <c r="Q111" s="3"/>
      <c r="R111" s="3"/>
      <c r="S111" s="3"/>
      <c r="T111" s="3"/>
      <c r="U111" s="3"/>
      <c r="V111" s="3"/>
      <c r="W111" s="3"/>
      <c r="X111" s="3"/>
      <c r="Y111" s="3"/>
      <c r="Z111" s="3"/>
    </row>
    <row r="112" spans="1:26">
      <c r="A112" s="8" t="s">
        <v>119</v>
      </c>
      <c r="B112" s="3">
        <v>278</v>
      </c>
      <c r="C112" s="3">
        <v>9676.74</v>
      </c>
      <c r="D112" s="3">
        <v>1</v>
      </c>
      <c r="E112" s="3">
        <v>27</v>
      </c>
      <c r="F112" s="3">
        <v>277</v>
      </c>
      <c r="G112" s="3">
        <v>9649.74</v>
      </c>
      <c r="H112" s="3">
        <v>34.840000000000003</v>
      </c>
      <c r="I112" s="3" t="str">
        <f t="shared" si="0"/>
        <v>10/yyyy</v>
      </c>
      <c r="J112" s="3"/>
      <c r="K112" s="3"/>
      <c r="L112" s="3"/>
      <c r="M112" s="3"/>
      <c r="N112" s="3"/>
      <c r="O112" s="3"/>
      <c r="P112" s="3"/>
      <c r="Q112" s="3"/>
      <c r="R112" s="3"/>
      <c r="S112" s="3"/>
      <c r="T112" s="3"/>
      <c r="U112" s="3"/>
      <c r="V112" s="3"/>
      <c r="W112" s="3"/>
      <c r="X112" s="3"/>
      <c r="Y112" s="3"/>
      <c r="Z112" s="3"/>
    </row>
    <row r="113" spans="1:26">
      <c r="A113" s="8" t="s">
        <v>120</v>
      </c>
      <c r="B113" s="3">
        <v>246</v>
      </c>
      <c r="C113" s="3">
        <v>6995.53</v>
      </c>
      <c r="D113" s="3">
        <v>1</v>
      </c>
      <c r="E113" s="3">
        <v>35</v>
      </c>
      <c r="F113" s="3">
        <v>245</v>
      </c>
      <c r="G113" s="3">
        <v>6960.53</v>
      </c>
      <c r="H113" s="3">
        <v>28.41</v>
      </c>
      <c r="I113" s="3" t="str">
        <f t="shared" si="0"/>
        <v>10/yyyy</v>
      </c>
      <c r="J113" s="3"/>
      <c r="K113" s="3"/>
      <c r="L113" s="3"/>
      <c r="M113" s="3"/>
      <c r="N113" s="3"/>
      <c r="O113" s="3"/>
      <c r="P113" s="3"/>
      <c r="Q113" s="3"/>
      <c r="R113" s="3"/>
      <c r="S113" s="3"/>
      <c r="T113" s="3"/>
      <c r="U113" s="3"/>
      <c r="V113" s="3"/>
      <c r="W113" s="3"/>
      <c r="X113" s="3"/>
      <c r="Y113" s="3"/>
      <c r="Z113" s="3"/>
    </row>
    <row r="114" spans="1:26">
      <c r="A114" s="8" t="s">
        <v>121</v>
      </c>
      <c r="B114" s="3">
        <v>232</v>
      </c>
      <c r="C114" s="3">
        <v>7402.9</v>
      </c>
      <c r="D114" s="3">
        <v>1</v>
      </c>
      <c r="E114" s="3">
        <v>24</v>
      </c>
      <c r="F114" s="3">
        <v>231</v>
      </c>
      <c r="G114" s="3">
        <v>7378.9</v>
      </c>
      <c r="H114" s="3">
        <v>31.94</v>
      </c>
      <c r="I114" s="3" t="str">
        <f t="shared" si="0"/>
        <v>10/yyyy</v>
      </c>
      <c r="J114" s="3"/>
      <c r="K114" s="3"/>
      <c r="L114" s="3"/>
      <c r="M114" s="3"/>
      <c r="N114" s="3"/>
      <c r="O114" s="3"/>
      <c r="P114" s="3"/>
      <c r="Q114" s="3"/>
      <c r="R114" s="3"/>
      <c r="S114" s="3"/>
      <c r="T114" s="3"/>
      <c r="U114" s="3"/>
      <c r="V114" s="3"/>
      <c r="W114" s="3"/>
      <c r="X114" s="3"/>
      <c r="Y114" s="3"/>
      <c r="Z114" s="3"/>
    </row>
    <row r="115" spans="1:26">
      <c r="A115" s="8" t="s">
        <v>122</v>
      </c>
      <c r="B115" s="3">
        <v>239</v>
      </c>
      <c r="C115" s="3">
        <v>7177.74</v>
      </c>
      <c r="D115" s="3">
        <v>1</v>
      </c>
      <c r="E115" s="3">
        <v>34</v>
      </c>
      <c r="F115" s="3">
        <v>238</v>
      </c>
      <c r="G115" s="3">
        <v>7143.74</v>
      </c>
      <c r="H115" s="3">
        <v>30.02</v>
      </c>
      <c r="I115" s="3" t="str">
        <f t="shared" si="0"/>
        <v>10/yyyy</v>
      </c>
      <c r="J115" s="3"/>
      <c r="K115" s="3"/>
      <c r="L115" s="3"/>
      <c r="M115" s="3"/>
      <c r="N115" s="3"/>
      <c r="O115" s="3"/>
      <c r="P115" s="3"/>
      <c r="Q115" s="3"/>
      <c r="R115" s="3"/>
      <c r="S115" s="3"/>
      <c r="T115" s="3"/>
      <c r="U115" s="3"/>
      <c r="V115" s="3"/>
      <c r="W115" s="3"/>
      <c r="X115" s="3"/>
      <c r="Y115" s="3"/>
      <c r="Z115" s="3"/>
    </row>
    <row r="116" spans="1:26">
      <c r="A116" s="8" t="s">
        <v>123</v>
      </c>
      <c r="B116" s="3">
        <v>234</v>
      </c>
      <c r="C116" s="3">
        <v>7399.04</v>
      </c>
      <c r="D116" s="3">
        <v>1</v>
      </c>
      <c r="E116" s="3">
        <v>21.5</v>
      </c>
      <c r="F116" s="3">
        <v>233</v>
      </c>
      <c r="G116" s="3">
        <v>7377.54</v>
      </c>
      <c r="H116" s="3">
        <v>31.66</v>
      </c>
      <c r="I116" s="3" t="str">
        <f t="shared" si="0"/>
        <v>10/yyyy</v>
      </c>
      <c r="J116" s="3"/>
      <c r="K116" s="3"/>
      <c r="L116" s="3"/>
      <c r="M116" s="3"/>
      <c r="N116" s="3"/>
      <c r="O116" s="3"/>
      <c r="P116" s="3"/>
      <c r="Q116" s="3"/>
      <c r="R116" s="3"/>
      <c r="S116" s="3"/>
      <c r="T116" s="3"/>
      <c r="U116" s="3"/>
      <c r="V116" s="3"/>
      <c r="W116" s="3"/>
      <c r="X116" s="3"/>
      <c r="Y116" s="3"/>
      <c r="Z116" s="3"/>
    </row>
    <row r="117" spans="1:26">
      <c r="A117" s="8" t="s">
        <v>124</v>
      </c>
      <c r="B117" s="3">
        <v>240</v>
      </c>
      <c r="C117" s="3">
        <v>8170.67</v>
      </c>
      <c r="D117" s="3">
        <v>1</v>
      </c>
      <c r="E117" s="3">
        <v>2</v>
      </c>
      <c r="F117" s="3">
        <v>239</v>
      </c>
      <c r="G117" s="3">
        <v>8168.67</v>
      </c>
      <c r="H117" s="3">
        <v>34.18</v>
      </c>
      <c r="I117" s="3" t="str">
        <f t="shared" si="0"/>
        <v>10/yyyy</v>
      </c>
      <c r="J117" s="3"/>
      <c r="K117" s="3"/>
      <c r="L117" s="3"/>
      <c r="M117" s="3"/>
      <c r="N117" s="3"/>
      <c r="O117" s="3"/>
      <c r="P117" s="3"/>
      <c r="Q117" s="3"/>
      <c r="R117" s="3"/>
      <c r="S117" s="3"/>
      <c r="T117" s="3"/>
      <c r="U117" s="3"/>
      <c r="V117" s="3"/>
      <c r="W117" s="3"/>
      <c r="X117" s="3"/>
      <c r="Y117" s="3"/>
      <c r="Z117" s="3"/>
    </row>
    <row r="118" spans="1:26">
      <c r="A118" s="8" t="s">
        <v>125</v>
      </c>
      <c r="B118" s="3">
        <v>378</v>
      </c>
      <c r="C118" s="3">
        <v>13988.73</v>
      </c>
      <c r="D118" s="3">
        <v>5</v>
      </c>
      <c r="E118" s="3">
        <v>333.9</v>
      </c>
      <c r="F118" s="3">
        <v>373</v>
      </c>
      <c r="G118" s="3">
        <v>13654.83</v>
      </c>
      <c r="H118" s="3">
        <v>36.61</v>
      </c>
      <c r="I118" s="3" t="str">
        <f t="shared" si="0"/>
        <v>10/yyyy</v>
      </c>
      <c r="J118" s="3"/>
      <c r="K118" s="3"/>
      <c r="L118" s="3"/>
      <c r="M118" s="3"/>
      <c r="N118" s="3"/>
      <c r="O118" s="3"/>
      <c r="P118" s="3"/>
      <c r="Q118" s="3"/>
      <c r="R118" s="3"/>
      <c r="S118" s="3"/>
      <c r="T118" s="3"/>
      <c r="U118" s="3"/>
      <c r="V118" s="3"/>
      <c r="W118" s="3"/>
      <c r="X118" s="3"/>
      <c r="Y118" s="3"/>
      <c r="Z118" s="3"/>
    </row>
    <row r="119" spans="1:26">
      <c r="A119" s="8" t="s">
        <v>126</v>
      </c>
      <c r="B119" s="3">
        <v>243</v>
      </c>
      <c r="C119" s="3">
        <v>9170.8799999999992</v>
      </c>
      <c r="D119" s="3">
        <v>7</v>
      </c>
      <c r="E119" s="3">
        <v>219</v>
      </c>
      <c r="F119" s="3">
        <v>236</v>
      </c>
      <c r="G119" s="3">
        <v>8951.8799999999992</v>
      </c>
      <c r="H119" s="3">
        <v>37.93</v>
      </c>
      <c r="I119" s="3" t="str">
        <f t="shared" si="0"/>
        <v>10/yyyy</v>
      </c>
      <c r="J119" s="3"/>
      <c r="K119" s="3"/>
      <c r="L119" s="3"/>
      <c r="M119" s="3"/>
      <c r="N119" s="3"/>
      <c r="O119" s="3"/>
      <c r="P119" s="3"/>
      <c r="Q119" s="3"/>
      <c r="R119" s="3"/>
      <c r="S119" s="3"/>
      <c r="T119" s="3"/>
      <c r="U119" s="3"/>
      <c r="V119" s="3"/>
      <c r="W119" s="3"/>
      <c r="X119" s="3"/>
      <c r="Y119" s="3"/>
      <c r="Z119" s="3"/>
    </row>
    <row r="120" spans="1:26">
      <c r="A120" s="8" t="s">
        <v>127</v>
      </c>
      <c r="B120" s="3">
        <v>260</v>
      </c>
      <c r="C120" s="3">
        <v>9497.93</v>
      </c>
      <c r="D120" s="3">
        <v>6</v>
      </c>
      <c r="E120" s="3">
        <v>272.8</v>
      </c>
      <c r="F120" s="3">
        <v>254</v>
      </c>
      <c r="G120" s="3">
        <v>9225.1299999999992</v>
      </c>
      <c r="H120" s="3">
        <v>36.32</v>
      </c>
      <c r="I120" s="3" t="str">
        <f t="shared" si="0"/>
        <v>10/yyyy</v>
      </c>
      <c r="J120" s="3"/>
      <c r="K120" s="3"/>
      <c r="L120" s="3"/>
      <c r="M120" s="3"/>
      <c r="N120" s="3"/>
      <c r="O120" s="3"/>
      <c r="P120" s="3"/>
      <c r="Q120" s="3"/>
      <c r="R120" s="3"/>
      <c r="S120" s="3"/>
      <c r="T120" s="3"/>
      <c r="U120" s="3"/>
      <c r="V120" s="3"/>
      <c r="W120" s="3"/>
      <c r="X120" s="3"/>
      <c r="Y120" s="3"/>
      <c r="Z120" s="3"/>
    </row>
    <row r="121" spans="1:26">
      <c r="A121" s="8" t="s">
        <v>128</v>
      </c>
      <c r="B121" s="3">
        <v>247</v>
      </c>
      <c r="C121" s="3">
        <v>7548.79</v>
      </c>
      <c r="D121" s="3">
        <v>0</v>
      </c>
      <c r="E121" s="3">
        <v>0</v>
      </c>
      <c r="F121" s="3">
        <v>247</v>
      </c>
      <c r="G121" s="3">
        <v>7548.79</v>
      </c>
      <c r="H121" s="3">
        <v>30.56</v>
      </c>
      <c r="I121" s="3" t="str">
        <f t="shared" si="0"/>
        <v>10/yyyy</v>
      </c>
      <c r="J121" s="3"/>
      <c r="K121" s="3"/>
      <c r="L121" s="3"/>
      <c r="M121" s="3"/>
      <c r="N121" s="3"/>
      <c r="O121" s="3"/>
      <c r="P121" s="3"/>
      <c r="Q121" s="3"/>
      <c r="R121" s="3"/>
      <c r="S121" s="3"/>
      <c r="T121" s="3"/>
      <c r="U121" s="3"/>
      <c r="V121" s="3"/>
      <c r="W121" s="3"/>
      <c r="X121" s="3"/>
      <c r="Y121" s="3"/>
      <c r="Z121" s="3"/>
    </row>
    <row r="122" spans="1:26">
      <c r="A122" s="8" t="s">
        <v>129</v>
      </c>
      <c r="B122" s="3">
        <v>222</v>
      </c>
      <c r="C122" s="3">
        <v>7327.65</v>
      </c>
      <c r="D122" s="3">
        <v>1</v>
      </c>
      <c r="E122" s="3">
        <v>38</v>
      </c>
      <c r="F122" s="3">
        <v>221</v>
      </c>
      <c r="G122" s="3">
        <v>7289.65</v>
      </c>
      <c r="H122" s="3">
        <v>32.979999999999997</v>
      </c>
      <c r="I122" s="3" t="str">
        <f t="shared" si="0"/>
        <v>10/yyyy</v>
      </c>
      <c r="J122" s="3"/>
      <c r="K122" s="3"/>
      <c r="L122" s="3"/>
      <c r="M122" s="3"/>
      <c r="N122" s="3"/>
      <c r="O122" s="3"/>
      <c r="P122" s="3"/>
      <c r="Q122" s="3"/>
      <c r="R122" s="3"/>
      <c r="S122" s="3"/>
      <c r="T122" s="3"/>
      <c r="U122" s="3"/>
      <c r="V122" s="3"/>
      <c r="W122" s="3"/>
      <c r="X122" s="3"/>
      <c r="Y122" s="3"/>
      <c r="Z122" s="3"/>
    </row>
    <row r="123" spans="1:26">
      <c r="A123" s="8" t="s">
        <v>130</v>
      </c>
      <c r="B123" s="3">
        <v>233</v>
      </c>
      <c r="C123" s="3">
        <v>7596.43</v>
      </c>
      <c r="D123" s="3">
        <v>3</v>
      </c>
      <c r="E123" s="3">
        <v>53.33</v>
      </c>
      <c r="F123" s="3">
        <v>230</v>
      </c>
      <c r="G123" s="3">
        <v>7543.1</v>
      </c>
      <c r="H123" s="3">
        <v>32.799999999999997</v>
      </c>
      <c r="I123" s="3" t="str">
        <f t="shared" si="0"/>
        <v>10/yyyy</v>
      </c>
      <c r="J123" s="3"/>
      <c r="K123" s="3"/>
      <c r="L123" s="3"/>
      <c r="M123" s="3"/>
      <c r="N123" s="3"/>
      <c r="O123" s="3"/>
      <c r="P123" s="3"/>
      <c r="Q123" s="3"/>
      <c r="R123" s="3"/>
      <c r="S123" s="3"/>
      <c r="T123" s="3"/>
      <c r="U123" s="3"/>
      <c r="V123" s="3"/>
      <c r="W123" s="3"/>
      <c r="X123" s="3"/>
      <c r="Y123" s="3"/>
      <c r="Z123" s="3"/>
    </row>
    <row r="124" spans="1:26">
      <c r="A124" s="8" t="s">
        <v>131</v>
      </c>
      <c r="B124" s="3">
        <v>255</v>
      </c>
      <c r="C124" s="3">
        <v>8532.98</v>
      </c>
      <c r="D124" s="3">
        <v>1</v>
      </c>
      <c r="E124" s="3">
        <v>74</v>
      </c>
      <c r="F124" s="3">
        <v>254</v>
      </c>
      <c r="G124" s="3">
        <v>8458.98</v>
      </c>
      <c r="H124" s="3">
        <v>33.299999999999997</v>
      </c>
      <c r="I124" s="3" t="str">
        <f t="shared" si="0"/>
        <v>10/yyyy</v>
      </c>
      <c r="J124" s="3"/>
      <c r="K124" s="3"/>
      <c r="L124" s="3"/>
      <c r="M124" s="3"/>
      <c r="N124" s="3"/>
      <c r="O124" s="3"/>
      <c r="P124" s="3"/>
      <c r="Q124" s="3"/>
      <c r="R124" s="3"/>
      <c r="S124" s="3"/>
      <c r="T124" s="3"/>
      <c r="U124" s="3"/>
      <c r="V124" s="3"/>
      <c r="W124" s="3"/>
      <c r="X124" s="3"/>
      <c r="Y124" s="3"/>
      <c r="Z124" s="3"/>
    </row>
    <row r="125" spans="1:26">
      <c r="A125" s="8" t="s">
        <v>132</v>
      </c>
      <c r="B125" s="3">
        <v>358</v>
      </c>
      <c r="C125" s="3">
        <v>12533.76</v>
      </c>
      <c r="D125" s="3">
        <v>0</v>
      </c>
      <c r="E125" s="3">
        <v>0</v>
      </c>
      <c r="F125" s="3">
        <v>358</v>
      </c>
      <c r="G125" s="3">
        <v>12533.76</v>
      </c>
      <c r="H125" s="3">
        <v>35.01</v>
      </c>
      <c r="I125" s="3" t="str">
        <f t="shared" si="0"/>
        <v>11/yyyy</v>
      </c>
      <c r="J125" s="3"/>
      <c r="K125" s="3"/>
      <c r="L125" s="3"/>
      <c r="M125" s="3"/>
      <c r="N125" s="3"/>
      <c r="O125" s="3"/>
      <c r="P125" s="3"/>
      <c r="Q125" s="3"/>
      <c r="R125" s="3"/>
      <c r="S125" s="3"/>
      <c r="T125" s="3"/>
      <c r="U125" s="3"/>
      <c r="V125" s="3"/>
      <c r="W125" s="3"/>
      <c r="X125" s="3"/>
      <c r="Y125" s="3"/>
      <c r="Z125" s="3"/>
    </row>
    <row r="126" spans="1:26">
      <c r="A126" s="8" t="s">
        <v>133</v>
      </c>
      <c r="B126" s="3">
        <v>240</v>
      </c>
      <c r="C126" s="3">
        <v>8440.44</v>
      </c>
      <c r="D126" s="3">
        <v>1</v>
      </c>
      <c r="E126" s="3">
        <v>21</v>
      </c>
      <c r="F126" s="3">
        <v>239</v>
      </c>
      <c r="G126" s="3">
        <v>8419.44</v>
      </c>
      <c r="H126" s="3">
        <v>35.229999999999997</v>
      </c>
      <c r="I126" s="3" t="str">
        <f t="shared" si="0"/>
        <v>11/yyyy</v>
      </c>
      <c r="J126" s="3"/>
      <c r="K126" s="3"/>
      <c r="L126" s="3"/>
      <c r="M126" s="3"/>
      <c r="N126" s="3"/>
      <c r="O126" s="3"/>
      <c r="P126" s="3"/>
      <c r="Q126" s="3"/>
      <c r="R126" s="3"/>
      <c r="S126" s="3"/>
      <c r="T126" s="3"/>
      <c r="U126" s="3"/>
      <c r="V126" s="3"/>
      <c r="W126" s="3"/>
      <c r="X126" s="3"/>
      <c r="Y126" s="3"/>
      <c r="Z126" s="3"/>
    </row>
    <row r="127" spans="1:26">
      <c r="A127" s="8" t="s">
        <v>134</v>
      </c>
      <c r="B127" s="3">
        <v>257</v>
      </c>
      <c r="C127" s="3">
        <v>8273.82</v>
      </c>
      <c r="D127" s="3">
        <v>2</v>
      </c>
      <c r="E127" s="3">
        <v>40.9</v>
      </c>
      <c r="F127" s="3">
        <v>255</v>
      </c>
      <c r="G127" s="3">
        <v>8232.92</v>
      </c>
      <c r="H127" s="3">
        <v>32.29</v>
      </c>
      <c r="I127" s="3" t="str">
        <f t="shared" si="0"/>
        <v>11/yyyy</v>
      </c>
      <c r="J127" s="3"/>
      <c r="K127" s="3"/>
      <c r="L127" s="3"/>
      <c r="M127" s="3"/>
      <c r="N127" s="3"/>
      <c r="O127" s="3"/>
      <c r="P127" s="3"/>
      <c r="Q127" s="3"/>
      <c r="R127" s="3"/>
      <c r="S127" s="3"/>
      <c r="T127" s="3"/>
      <c r="U127" s="3"/>
      <c r="V127" s="3"/>
      <c r="W127" s="3"/>
      <c r="X127" s="3"/>
      <c r="Y127" s="3"/>
      <c r="Z127" s="3"/>
    </row>
    <row r="128" spans="1:26">
      <c r="A128" s="8" t="s">
        <v>135</v>
      </c>
      <c r="B128" s="3">
        <v>238</v>
      </c>
      <c r="C128" s="3">
        <v>7990.35</v>
      </c>
      <c r="D128" s="3">
        <v>1</v>
      </c>
      <c r="E128" s="3">
        <v>51.5</v>
      </c>
      <c r="F128" s="3">
        <v>237</v>
      </c>
      <c r="G128" s="3">
        <v>7938.85</v>
      </c>
      <c r="H128" s="3">
        <v>33.5</v>
      </c>
      <c r="I128" s="3" t="str">
        <f t="shared" si="0"/>
        <v>11/yyyy</v>
      </c>
      <c r="J128" s="3"/>
      <c r="K128" s="3"/>
      <c r="L128" s="3"/>
      <c r="M128" s="3"/>
      <c r="N128" s="3"/>
      <c r="O128" s="3"/>
      <c r="P128" s="3"/>
      <c r="Q128" s="3"/>
      <c r="R128" s="3"/>
      <c r="S128" s="3"/>
      <c r="T128" s="3"/>
      <c r="U128" s="3"/>
      <c r="V128" s="3"/>
      <c r="W128" s="3"/>
      <c r="X128" s="3"/>
      <c r="Y128" s="3"/>
      <c r="Z128" s="3"/>
    </row>
    <row r="129" spans="1:26">
      <c r="A129" s="8" t="s">
        <v>136</v>
      </c>
      <c r="B129" s="3">
        <v>248</v>
      </c>
      <c r="C129" s="3">
        <v>8870.1</v>
      </c>
      <c r="D129" s="3">
        <v>1</v>
      </c>
      <c r="E129" s="3">
        <v>55</v>
      </c>
      <c r="F129" s="3">
        <v>247</v>
      </c>
      <c r="G129" s="3">
        <v>8815.1</v>
      </c>
      <c r="H129" s="3">
        <v>35.69</v>
      </c>
      <c r="I129" s="3" t="str">
        <f t="shared" si="0"/>
        <v>11/yyyy</v>
      </c>
      <c r="J129" s="3"/>
      <c r="K129" s="3"/>
      <c r="L129" s="3"/>
      <c r="M129" s="3"/>
      <c r="N129" s="3"/>
      <c r="O129" s="3"/>
      <c r="P129" s="3"/>
      <c r="Q129" s="3"/>
      <c r="R129" s="3"/>
      <c r="S129" s="3"/>
      <c r="T129" s="3"/>
      <c r="U129" s="3"/>
      <c r="V129" s="3"/>
      <c r="W129" s="3"/>
      <c r="X129" s="3"/>
      <c r="Y129" s="3"/>
      <c r="Z129" s="3"/>
    </row>
    <row r="130" spans="1:26">
      <c r="A130" s="8" t="s">
        <v>137</v>
      </c>
      <c r="B130" s="3">
        <v>226</v>
      </c>
      <c r="C130" s="3">
        <v>7174.54</v>
      </c>
      <c r="D130" s="3">
        <v>3</v>
      </c>
      <c r="E130" s="3">
        <v>71.3</v>
      </c>
      <c r="F130" s="3">
        <v>223</v>
      </c>
      <c r="G130" s="3">
        <v>7103.24</v>
      </c>
      <c r="H130" s="3">
        <v>31.85</v>
      </c>
      <c r="I130" s="3" t="str">
        <f t="shared" si="0"/>
        <v>11/yyyy</v>
      </c>
      <c r="J130" s="3"/>
      <c r="K130" s="3"/>
      <c r="L130" s="3"/>
      <c r="M130" s="3"/>
      <c r="N130" s="3"/>
      <c r="O130" s="3"/>
      <c r="P130" s="3"/>
      <c r="Q130" s="3"/>
      <c r="R130" s="3"/>
      <c r="S130" s="3"/>
      <c r="T130" s="3"/>
      <c r="U130" s="3"/>
      <c r="V130" s="3"/>
      <c r="W130" s="3"/>
      <c r="X130" s="3"/>
      <c r="Y130" s="3"/>
      <c r="Z130" s="3"/>
    </row>
    <row r="131" spans="1:26">
      <c r="A131" s="8" t="s">
        <v>138</v>
      </c>
      <c r="B131" s="3">
        <v>327</v>
      </c>
      <c r="C131" s="3">
        <v>10215.049999999999</v>
      </c>
      <c r="D131" s="3">
        <v>2</v>
      </c>
      <c r="E131" s="3">
        <v>172.99</v>
      </c>
      <c r="F131" s="3">
        <v>325</v>
      </c>
      <c r="G131" s="3">
        <v>10042.06</v>
      </c>
      <c r="H131" s="3">
        <v>30.9</v>
      </c>
      <c r="I131" s="3" t="str">
        <f t="shared" si="0"/>
        <v>11/yyyy</v>
      </c>
      <c r="J131" s="3"/>
      <c r="K131" s="3"/>
      <c r="L131" s="3"/>
      <c r="M131" s="3"/>
      <c r="N131" s="3"/>
      <c r="O131" s="3"/>
      <c r="P131" s="3"/>
      <c r="Q131" s="3"/>
      <c r="R131" s="3"/>
      <c r="S131" s="3"/>
      <c r="T131" s="3"/>
      <c r="U131" s="3"/>
      <c r="V131" s="3"/>
      <c r="W131" s="3"/>
      <c r="X131" s="3"/>
      <c r="Y131" s="3"/>
      <c r="Z131" s="3"/>
    </row>
    <row r="132" spans="1:26">
      <c r="A132" s="8" t="s">
        <v>139</v>
      </c>
      <c r="B132" s="3">
        <v>379</v>
      </c>
      <c r="C132" s="3">
        <v>14564.51</v>
      </c>
      <c r="D132" s="3">
        <v>7</v>
      </c>
      <c r="E132" s="3">
        <v>244.3</v>
      </c>
      <c r="F132" s="3">
        <v>372</v>
      </c>
      <c r="G132" s="3">
        <v>14320.21</v>
      </c>
      <c r="H132" s="3">
        <v>38.5</v>
      </c>
      <c r="I132" s="3" t="str">
        <f t="shared" si="0"/>
        <v>11/yyyy</v>
      </c>
      <c r="J132" s="3"/>
      <c r="K132" s="3"/>
      <c r="L132" s="3"/>
      <c r="M132" s="3"/>
      <c r="N132" s="3"/>
      <c r="O132" s="3"/>
      <c r="P132" s="3"/>
      <c r="Q132" s="3"/>
      <c r="R132" s="3"/>
      <c r="S132" s="3"/>
      <c r="T132" s="3"/>
      <c r="U132" s="3"/>
      <c r="V132" s="3"/>
      <c r="W132" s="3"/>
      <c r="X132" s="3"/>
      <c r="Y132" s="3"/>
      <c r="Z132" s="3"/>
    </row>
    <row r="133" spans="1:26">
      <c r="A133" s="8" t="s">
        <v>140</v>
      </c>
      <c r="B133" s="3">
        <v>250</v>
      </c>
      <c r="C133" s="3">
        <v>9690.58</v>
      </c>
      <c r="D133" s="3">
        <v>4</v>
      </c>
      <c r="E133" s="3">
        <v>93.1</v>
      </c>
      <c r="F133" s="3">
        <v>246</v>
      </c>
      <c r="G133" s="3">
        <v>9597.48</v>
      </c>
      <c r="H133" s="3">
        <v>39.01</v>
      </c>
      <c r="I133" s="3" t="str">
        <f t="shared" si="0"/>
        <v>11/yyyy</v>
      </c>
      <c r="J133" s="3"/>
      <c r="K133" s="3"/>
      <c r="L133" s="3"/>
      <c r="M133" s="3"/>
      <c r="N133" s="3"/>
      <c r="O133" s="3"/>
      <c r="P133" s="3"/>
      <c r="Q133" s="3"/>
      <c r="R133" s="3"/>
      <c r="S133" s="3"/>
      <c r="T133" s="3"/>
      <c r="U133" s="3"/>
      <c r="V133" s="3"/>
      <c r="W133" s="3"/>
      <c r="X133" s="3"/>
      <c r="Y133" s="3"/>
      <c r="Z133" s="3"/>
    </row>
    <row r="134" spans="1:26">
      <c r="A134" s="8" t="s">
        <v>141</v>
      </c>
      <c r="B134" s="3">
        <v>272</v>
      </c>
      <c r="C134" s="3">
        <v>8463.1200000000008</v>
      </c>
      <c r="D134" s="3">
        <v>6</v>
      </c>
      <c r="E134" s="3">
        <v>240</v>
      </c>
      <c r="F134" s="3">
        <v>266</v>
      </c>
      <c r="G134" s="3">
        <v>8223.1200000000008</v>
      </c>
      <c r="H134" s="3">
        <v>30.91</v>
      </c>
      <c r="I134" s="3" t="str">
        <f t="shared" si="0"/>
        <v>11/yyyy</v>
      </c>
      <c r="J134" s="3"/>
      <c r="K134" s="3"/>
      <c r="L134" s="3"/>
      <c r="M134" s="3"/>
      <c r="N134" s="3"/>
      <c r="O134" s="3"/>
      <c r="P134" s="3"/>
      <c r="Q134" s="3"/>
      <c r="R134" s="3"/>
      <c r="S134" s="3"/>
      <c r="T134" s="3"/>
      <c r="U134" s="3"/>
      <c r="V134" s="3"/>
      <c r="W134" s="3"/>
      <c r="X134" s="3"/>
      <c r="Y134" s="3"/>
      <c r="Z134" s="3"/>
    </row>
    <row r="135" spans="1:26">
      <c r="A135" s="8" t="s">
        <v>142</v>
      </c>
      <c r="B135" s="3">
        <v>267</v>
      </c>
      <c r="C135" s="3">
        <v>8875.83</v>
      </c>
      <c r="D135" s="3">
        <v>12</v>
      </c>
      <c r="E135" s="3">
        <v>505.69</v>
      </c>
      <c r="F135" s="3">
        <v>255</v>
      </c>
      <c r="G135" s="3">
        <v>8370.14</v>
      </c>
      <c r="H135" s="3">
        <v>32.82</v>
      </c>
      <c r="I135" s="3" t="str">
        <f t="shared" si="0"/>
        <v>11/yyyy</v>
      </c>
      <c r="J135" s="3"/>
      <c r="K135" s="3"/>
      <c r="L135" s="3"/>
      <c r="M135" s="3"/>
      <c r="N135" s="3"/>
      <c r="O135" s="3"/>
      <c r="P135" s="3"/>
      <c r="Q135" s="3"/>
      <c r="R135" s="3"/>
      <c r="S135" s="3"/>
      <c r="T135" s="3"/>
      <c r="U135" s="3"/>
      <c r="V135" s="3"/>
      <c r="W135" s="3"/>
      <c r="X135" s="3"/>
      <c r="Y135" s="3"/>
      <c r="Z135" s="3"/>
    </row>
    <row r="136" spans="1:26">
      <c r="A136" s="8" t="s">
        <v>143</v>
      </c>
      <c r="B136" s="3">
        <v>237</v>
      </c>
      <c r="C136" s="3">
        <v>7549.32</v>
      </c>
      <c r="D136" s="3">
        <v>1</v>
      </c>
      <c r="E136" s="3">
        <v>5</v>
      </c>
      <c r="F136" s="3">
        <v>236</v>
      </c>
      <c r="G136" s="3">
        <v>7544.32</v>
      </c>
      <c r="H136" s="3">
        <v>31.97</v>
      </c>
      <c r="I136" s="3" t="str">
        <f t="shared" si="0"/>
        <v>11/yyyy</v>
      </c>
      <c r="J136" s="3"/>
      <c r="K136" s="3"/>
      <c r="L136" s="3"/>
      <c r="M136" s="3"/>
      <c r="N136" s="3"/>
      <c r="O136" s="3"/>
      <c r="P136" s="3"/>
      <c r="Q136" s="3"/>
      <c r="R136" s="3"/>
      <c r="S136" s="3"/>
      <c r="T136" s="3"/>
      <c r="U136" s="3"/>
      <c r="V136" s="3"/>
      <c r="W136" s="3"/>
      <c r="X136" s="3"/>
      <c r="Y136" s="3"/>
      <c r="Z136" s="3"/>
    </row>
    <row r="137" spans="1:26">
      <c r="A137" s="8" t="s">
        <v>144</v>
      </c>
      <c r="B137" s="3">
        <v>219</v>
      </c>
      <c r="C137" s="3">
        <v>6682.97</v>
      </c>
      <c r="D137" s="3">
        <v>1</v>
      </c>
      <c r="E137" s="3">
        <v>4.9000000000000004</v>
      </c>
      <c r="F137" s="3">
        <v>218</v>
      </c>
      <c r="G137" s="3">
        <v>6678.07</v>
      </c>
      <c r="H137" s="3">
        <v>30.63</v>
      </c>
      <c r="I137" s="3" t="str">
        <f t="shared" si="0"/>
        <v>11/yyyy</v>
      </c>
      <c r="J137" s="3"/>
      <c r="K137" s="3"/>
      <c r="L137" s="3"/>
      <c r="M137" s="3"/>
      <c r="N137" s="3"/>
      <c r="O137" s="3"/>
      <c r="P137" s="3"/>
      <c r="Q137" s="3"/>
      <c r="R137" s="3"/>
      <c r="S137" s="3"/>
      <c r="T137" s="3"/>
      <c r="U137" s="3"/>
      <c r="V137" s="3"/>
      <c r="W137" s="3"/>
      <c r="X137" s="3"/>
      <c r="Y137" s="3"/>
      <c r="Z137" s="3"/>
    </row>
    <row r="138" spans="1:26">
      <c r="A138" s="8" t="s">
        <v>145</v>
      </c>
      <c r="B138" s="3">
        <v>305</v>
      </c>
      <c r="C138" s="3">
        <v>10455.48</v>
      </c>
      <c r="D138" s="3">
        <v>5</v>
      </c>
      <c r="E138" s="3">
        <v>141.53</v>
      </c>
      <c r="F138" s="3">
        <v>300</v>
      </c>
      <c r="G138" s="3">
        <v>10313.950000000001</v>
      </c>
      <c r="H138" s="3">
        <v>34.380000000000003</v>
      </c>
      <c r="I138" s="3" t="str">
        <f t="shared" si="0"/>
        <v>11/yyyy</v>
      </c>
      <c r="J138" s="3"/>
      <c r="K138" s="3"/>
      <c r="L138" s="3"/>
      <c r="M138" s="3"/>
      <c r="N138" s="3"/>
      <c r="O138" s="3"/>
      <c r="P138" s="3"/>
      <c r="Q138" s="3"/>
      <c r="R138" s="3"/>
      <c r="S138" s="3"/>
      <c r="T138" s="3"/>
      <c r="U138" s="3"/>
      <c r="V138" s="3"/>
      <c r="W138" s="3"/>
      <c r="X138" s="3"/>
      <c r="Y138" s="3"/>
      <c r="Z138" s="3"/>
    </row>
    <row r="139" spans="1:26">
      <c r="A139" s="8" t="s">
        <v>146</v>
      </c>
      <c r="B139" s="3">
        <v>402</v>
      </c>
      <c r="C139" s="3">
        <v>13514.16</v>
      </c>
      <c r="D139" s="3">
        <v>6</v>
      </c>
      <c r="E139" s="3">
        <v>191.54</v>
      </c>
      <c r="F139" s="3">
        <v>396</v>
      </c>
      <c r="G139" s="3">
        <v>13322.62</v>
      </c>
      <c r="H139" s="3">
        <v>33.64</v>
      </c>
      <c r="I139" s="3" t="str">
        <f t="shared" si="0"/>
        <v>11/yyyy</v>
      </c>
      <c r="J139" s="3"/>
      <c r="K139" s="3"/>
      <c r="L139" s="3"/>
      <c r="M139" s="3"/>
      <c r="N139" s="3"/>
      <c r="O139" s="3"/>
      <c r="P139" s="3"/>
      <c r="Q139" s="3"/>
      <c r="R139" s="3"/>
      <c r="S139" s="3"/>
      <c r="T139" s="3"/>
      <c r="U139" s="3"/>
      <c r="V139" s="3"/>
      <c r="W139" s="3"/>
      <c r="X139" s="3"/>
      <c r="Y139" s="3"/>
      <c r="Z139" s="3"/>
    </row>
    <row r="140" spans="1:26">
      <c r="A140" s="8" t="s">
        <v>147</v>
      </c>
      <c r="B140" s="3">
        <v>232</v>
      </c>
      <c r="C140" s="3">
        <v>7907.9</v>
      </c>
      <c r="D140" s="3">
        <v>3</v>
      </c>
      <c r="E140" s="3">
        <v>204.5</v>
      </c>
      <c r="F140" s="3">
        <v>229</v>
      </c>
      <c r="G140" s="3">
        <v>7703.4</v>
      </c>
      <c r="H140" s="3">
        <v>33.64</v>
      </c>
      <c r="I140" s="3" t="str">
        <f t="shared" si="0"/>
        <v>11/yyyy</v>
      </c>
      <c r="J140" s="3"/>
      <c r="K140" s="3"/>
      <c r="L140" s="3"/>
      <c r="M140" s="3"/>
      <c r="N140" s="3"/>
      <c r="O140" s="3"/>
      <c r="P140" s="3"/>
      <c r="Q140" s="3"/>
      <c r="R140" s="3"/>
      <c r="S140" s="3"/>
      <c r="T140" s="3"/>
      <c r="U140" s="3"/>
      <c r="V140" s="3"/>
      <c r="W140" s="3"/>
      <c r="X140" s="3"/>
      <c r="Y140" s="3"/>
      <c r="Z140" s="3"/>
    </row>
    <row r="141" spans="1:26">
      <c r="A141" s="8" t="s">
        <v>148</v>
      </c>
      <c r="B141" s="3">
        <v>276</v>
      </c>
      <c r="C141" s="3">
        <v>9020.41</v>
      </c>
      <c r="D141" s="3">
        <v>2</v>
      </c>
      <c r="E141" s="3">
        <v>155</v>
      </c>
      <c r="F141" s="3">
        <v>274</v>
      </c>
      <c r="G141" s="3">
        <v>8865.41</v>
      </c>
      <c r="H141" s="3">
        <v>32.36</v>
      </c>
      <c r="I141" s="3" t="str">
        <f t="shared" si="0"/>
        <v>11/yyyy</v>
      </c>
      <c r="J141" s="3"/>
      <c r="K141" s="3"/>
      <c r="L141" s="3"/>
      <c r="M141" s="3"/>
      <c r="N141" s="3"/>
      <c r="O141" s="3"/>
      <c r="P141" s="3"/>
      <c r="Q141" s="3"/>
      <c r="R141" s="3"/>
      <c r="S141" s="3"/>
      <c r="T141" s="3"/>
      <c r="U141" s="3"/>
      <c r="V141" s="3"/>
      <c r="W141" s="3"/>
      <c r="X141" s="3"/>
      <c r="Y141" s="3"/>
      <c r="Z141" s="3"/>
    </row>
    <row r="142" spans="1:26">
      <c r="A142" s="8" t="s">
        <v>149</v>
      </c>
      <c r="B142" s="3">
        <v>249</v>
      </c>
      <c r="C142" s="3">
        <v>7901.36</v>
      </c>
      <c r="D142" s="3">
        <v>0</v>
      </c>
      <c r="E142" s="3">
        <v>0</v>
      </c>
      <c r="F142" s="3">
        <v>249</v>
      </c>
      <c r="G142" s="3">
        <v>7901.36</v>
      </c>
      <c r="H142" s="3">
        <v>31.73</v>
      </c>
      <c r="I142" s="3" t="str">
        <f t="shared" si="0"/>
        <v>11/yyyy</v>
      </c>
      <c r="J142" s="3"/>
      <c r="K142" s="3"/>
      <c r="L142" s="3"/>
      <c r="M142" s="3"/>
      <c r="N142" s="3"/>
      <c r="O142" s="3"/>
      <c r="P142" s="3"/>
      <c r="Q142" s="3"/>
      <c r="R142" s="3"/>
      <c r="S142" s="3"/>
      <c r="T142" s="3"/>
      <c r="U142" s="3"/>
      <c r="V142" s="3"/>
      <c r="W142" s="3"/>
      <c r="X142" s="3"/>
      <c r="Y142" s="3"/>
      <c r="Z142" s="3"/>
    </row>
    <row r="143" spans="1:26">
      <c r="A143" s="8" t="s">
        <v>150</v>
      </c>
      <c r="B143" s="3">
        <v>270</v>
      </c>
      <c r="C143" s="3">
        <v>8533.6200000000008</v>
      </c>
      <c r="D143" s="3">
        <v>3</v>
      </c>
      <c r="E143" s="3">
        <v>158.99</v>
      </c>
      <c r="F143" s="3">
        <v>267</v>
      </c>
      <c r="G143" s="3">
        <v>8374.6299999999992</v>
      </c>
      <c r="H143" s="3">
        <v>31.37</v>
      </c>
      <c r="I143" s="3" t="str">
        <f t="shared" si="0"/>
        <v>11/yyyy</v>
      </c>
      <c r="J143" s="3"/>
      <c r="K143" s="3"/>
      <c r="L143" s="3"/>
      <c r="M143" s="3"/>
      <c r="N143" s="3"/>
      <c r="O143" s="3"/>
      <c r="P143" s="3"/>
      <c r="Q143" s="3"/>
      <c r="R143" s="3"/>
      <c r="S143" s="3"/>
      <c r="T143" s="3"/>
      <c r="U143" s="3"/>
      <c r="V143" s="3"/>
      <c r="W143" s="3"/>
      <c r="X143" s="3"/>
      <c r="Y143" s="3"/>
      <c r="Z143" s="3"/>
    </row>
    <row r="144" spans="1:26">
      <c r="A144" s="8" t="s">
        <v>151</v>
      </c>
      <c r="B144" s="3">
        <v>329</v>
      </c>
      <c r="C144" s="3">
        <v>11150.4</v>
      </c>
      <c r="D144" s="3">
        <v>2</v>
      </c>
      <c r="E144" s="3">
        <v>80</v>
      </c>
      <c r="F144" s="3">
        <v>327</v>
      </c>
      <c r="G144" s="3">
        <v>11070.4</v>
      </c>
      <c r="H144" s="3">
        <v>33.85</v>
      </c>
      <c r="I144" s="3" t="str">
        <f t="shared" si="0"/>
        <v>11/yyyy</v>
      </c>
      <c r="J144" s="3"/>
      <c r="K144" s="3"/>
      <c r="L144" s="3"/>
      <c r="M144" s="3"/>
      <c r="N144" s="3"/>
      <c r="O144" s="3"/>
      <c r="P144" s="3"/>
      <c r="Q144" s="3"/>
      <c r="R144" s="3"/>
      <c r="S144" s="3"/>
      <c r="T144" s="3"/>
      <c r="U144" s="3"/>
      <c r="V144" s="3"/>
      <c r="W144" s="3"/>
      <c r="X144" s="3"/>
      <c r="Y144" s="3"/>
      <c r="Z144" s="3"/>
    </row>
    <row r="145" spans="1:26">
      <c r="A145" s="8" t="s">
        <v>152</v>
      </c>
      <c r="B145" s="3">
        <v>250</v>
      </c>
      <c r="C145" s="3">
        <v>8240.75</v>
      </c>
      <c r="D145" s="3">
        <v>7</v>
      </c>
      <c r="E145" s="3">
        <v>165.7</v>
      </c>
      <c r="F145" s="3">
        <v>243</v>
      </c>
      <c r="G145" s="3">
        <v>8075.05</v>
      </c>
      <c r="H145" s="3">
        <v>33.229999999999997</v>
      </c>
      <c r="I145" s="3" t="str">
        <f t="shared" si="0"/>
        <v>11/yyyy</v>
      </c>
      <c r="J145" s="3"/>
      <c r="K145" s="3"/>
      <c r="L145" s="3"/>
      <c r="M145" s="3"/>
      <c r="N145" s="3"/>
      <c r="O145" s="3"/>
      <c r="P145" s="3"/>
      <c r="Q145" s="3"/>
      <c r="R145" s="3"/>
      <c r="S145" s="3"/>
      <c r="T145" s="3"/>
      <c r="U145" s="3"/>
      <c r="V145" s="3"/>
      <c r="W145" s="3"/>
      <c r="X145" s="3"/>
      <c r="Y145" s="3"/>
      <c r="Z145" s="3"/>
    </row>
    <row r="146" spans="1:26">
      <c r="A146" s="8" t="s">
        <v>153</v>
      </c>
      <c r="B146" s="3">
        <v>370</v>
      </c>
      <c r="C146" s="3">
        <v>12888.33</v>
      </c>
      <c r="D146" s="3">
        <v>2</v>
      </c>
      <c r="E146" s="3">
        <v>81.5</v>
      </c>
      <c r="F146" s="3">
        <v>368</v>
      </c>
      <c r="G146" s="3">
        <v>12806.83</v>
      </c>
      <c r="H146" s="3">
        <v>34.799999999999997</v>
      </c>
      <c r="I146" s="3" t="str">
        <f t="shared" si="0"/>
        <v>11/yyyy</v>
      </c>
      <c r="J146" s="3"/>
      <c r="K146" s="3"/>
      <c r="L146" s="3"/>
      <c r="M146" s="3"/>
      <c r="N146" s="3"/>
      <c r="O146" s="3"/>
      <c r="P146" s="3"/>
      <c r="Q146" s="3"/>
      <c r="R146" s="3"/>
      <c r="S146" s="3"/>
      <c r="T146" s="3"/>
      <c r="U146" s="3"/>
      <c r="V146" s="3"/>
      <c r="W146" s="3"/>
      <c r="X146" s="3"/>
      <c r="Y146" s="3"/>
      <c r="Z146" s="3"/>
    </row>
    <row r="147" spans="1:26">
      <c r="A147" s="8" t="s">
        <v>154</v>
      </c>
      <c r="B147" s="3">
        <v>296</v>
      </c>
      <c r="C147" s="3">
        <v>9862.64</v>
      </c>
      <c r="D147" s="3">
        <v>2</v>
      </c>
      <c r="E147" s="3">
        <v>73.900000000000006</v>
      </c>
      <c r="F147" s="3">
        <v>294</v>
      </c>
      <c r="G147" s="3">
        <v>9788.74</v>
      </c>
      <c r="H147" s="3">
        <v>33.299999999999997</v>
      </c>
      <c r="I147" s="3" t="str">
        <f t="shared" si="0"/>
        <v>11/yyyy</v>
      </c>
      <c r="J147" s="3"/>
      <c r="K147" s="3"/>
      <c r="L147" s="3"/>
      <c r="M147" s="3"/>
      <c r="N147" s="3"/>
      <c r="O147" s="3"/>
      <c r="P147" s="3"/>
      <c r="Q147" s="3"/>
      <c r="R147" s="3"/>
      <c r="S147" s="3"/>
      <c r="T147" s="3"/>
      <c r="U147" s="3"/>
      <c r="V147" s="3"/>
      <c r="W147" s="3"/>
      <c r="X147" s="3"/>
      <c r="Y147" s="3"/>
      <c r="Z147" s="3"/>
    </row>
    <row r="148" spans="1:26">
      <c r="A148" s="8" t="s">
        <v>155</v>
      </c>
      <c r="B148" s="3">
        <v>261</v>
      </c>
      <c r="C148" s="3">
        <v>7882.62</v>
      </c>
      <c r="D148" s="3">
        <v>3</v>
      </c>
      <c r="E148" s="3">
        <v>123.5</v>
      </c>
      <c r="F148" s="3">
        <v>258</v>
      </c>
      <c r="G148" s="3">
        <v>7759.12</v>
      </c>
      <c r="H148" s="3">
        <v>30.7</v>
      </c>
      <c r="I148" s="3" t="str">
        <f t="shared" si="0"/>
        <v>11/yyyy</v>
      </c>
      <c r="J148" s="3"/>
      <c r="K148" s="3"/>
      <c r="L148" s="3"/>
      <c r="M148" s="3"/>
      <c r="N148" s="3"/>
      <c r="O148" s="3"/>
      <c r="P148" s="3"/>
      <c r="Q148" s="3"/>
      <c r="R148" s="3"/>
      <c r="S148" s="3"/>
      <c r="T148" s="3"/>
      <c r="U148" s="3"/>
      <c r="V148" s="3"/>
      <c r="W148" s="3"/>
      <c r="X148" s="3"/>
      <c r="Y148" s="3"/>
      <c r="Z148" s="3"/>
    </row>
    <row r="149" spans="1:26">
      <c r="A149" s="8" t="s">
        <v>156</v>
      </c>
      <c r="B149" s="3">
        <v>227</v>
      </c>
      <c r="C149" s="3">
        <v>7339.47</v>
      </c>
      <c r="D149" s="3">
        <v>0</v>
      </c>
      <c r="E149" s="3">
        <v>0</v>
      </c>
      <c r="F149" s="3">
        <v>227</v>
      </c>
      <c r="G149" s="3">
        <v>7339.47</v>
      </c>
      <c r="H149" s="3">
        <v>32.33</v>
      </c>
      <c r="I149" s="3" t="str">
        <f t="shared" si="0"/>
        <v>11/yyyy</v>
      </c>
      <c r="J149" s="3"/>
      <c r="K149" s="3"/>
      <c r="L149" s="3"/>
      <c r="M149" s="3"/>
      <c r="N149" s="3"/>
      <c r="O149" s="3"/>
      <c r="P149" s="3"/>
      <c r="Q149" s="3"/>
      <c r="R149" s="3"/>
      <c r="S149" s="3"/>
      <c r="T149" s="3"/>
      <c r="U149" s="3"/>
      <c r="V149" s="3"/>
      <c r="W149" s="3"/>
      <c r="X149" s="3"/>
      <c r="Y149" s="3"/>
      <c r="Z149" s="3"/>
    </row>
    <row r="150" spans="1:26">
      <c r="A150" s="8" t="s">
        <v>157</v>
      </c>
      <c r="B150" s="3">
        <v>225</v>
      </c>
      <c r="C150" s="3">
        <v>6509.35</v>
      </c>
      <c r="D150" s="3">
        <v>3</v>
      </c>
      <c r="E150" s="3">
        <v>79</v>
      </c>
      <c r="F150" s="3">
        <v>222</v>
      </c>
      <c r="G150" s="3">
        <v>6430.35</v>
      </c>
      <c r="H150" s="3">
        <v>28.97</v>
      </c>
      <c r="I150" s="3" t="str">
        <f t="shared" si="0"/>
        <v>11/yyyy</v>
      </c>
      <c r="J150" s="3"/>
      <c r="K150" s="3"/>
      <c r="L150" s="3"/>
      <c r="M150" s="3"/>
      <c r="N150" s="3"/>
      <c r="O150" s="3"/>
      <c r="P150" s="3"/>
      <c r="Q150" s="3"/>
      <c r="R150" s="3"/>
      <c r="S150" s="3"/>
      <c r="T150" s="3"/>
      <c r="U150" s="3"/>
      <c r="V150" s="3"/>
      <c r="W150" s="3"/>
      <c r="X150" s="3"/>
      <c r="Y150" s="3"/>
      <c r="Z150" s="3"/>
    </row>
    <row r="151" spans="1:26">
      <c r="A151" s="8" t="s">
        <v>158</v>
      </c>
      <c r="B151" s="3">
        <v>274</v>
      </c>
      <c r="C151" s="3">
        <v>8735.73</v>
      </c>
      <c r="D151" s="3">
        <v>2</v>
      </c>
      <c r="E151" s="3">
        <v>69.5</v>
      </c>
      <c r="F151" s="3">
        <v>272</v>
      </c>
      <c r="G151" s="3">
        <v>8666.23</v>
      </c>
      <c r="H151" s="3">
        <v>31.86</v>
      </c>
      <c r="I151" s="3" t="str">
        <f t="shared" si="0"/>
        <v>11/yyyy</v>
      </c>
      <c r="J151" s="3"/>
      <c r="K151" s="3"/>
      <c r="L151" s="3"/>
      <c r="M151" s="3"/>
      <c r="N151" s="3"/>
      <c r="O151" s="3"/>
      <c r="P151" s="3"/>
      <c r="Q151" s="3"/>
      <c r="R151" s="3"/>
      <c r="S151" s="3"/>
      <c r="T151" s="3"/>
      <c r="U151" s="3"/>
      <c r="V151" s="3"/>
      <c r="W151" s="3"/>
      <c r="X151" s="3"/>
      <c r="Y151" s="3"/>
      <c r="Z151" s="3"/>
    </row>
    <row r="152" spans="1:26">
      <c r="A152" s="8" t="s">
        <v>159</v>
      </c>
      <c r="B152" s="3">
        <v>261</v>
      </c>
      <c r="C152" s="3">
        <v>9855.51</v>
      </c>
      <c r="D152" s="3">
        <v>4</v>
      </c>
      <c r="E152" s="3">
        <v>326.8</v>
      </c>
      <c r="F152" s="3">
        <v>257</v>
      </c>
      <c r="G152" s="3">
        <v>9528.7099999999991</v>
      </c>
      <c r="H152" s="3">
        <v>37.08</v>
      </c>
      <c r="I152" s="3" t="str">
        <f t="shared" si="0"/>
        <v>11/yyyy</v>
      </c>
      <c r="J152" s="3"/>
      <c r="K152" s="3"/>
      <c r="L152" s="3"/>
      <c r="M152" s="3"/>
      <c r="N152" s="3"/>
      <c r="O152" s="3"/>
      <c r="P152" s="3"/>
      <c r="Q152" s="3"/>
      <c r="R152" s="3"/>
      <c r="S152" s="3"/>
      <c r="T152" s="3"/>
      <c r="U152" s="3"/>
      <c r="V152" s="3"/>
      <c r="W152" s="3"/>
      <c r="X152" s="3"/>
      <c r="Y152" s="3"/>
      <c r="Z152" s="3"/>
    </row>
    <row r="153" spans="1:26">
      <c r="A153" s="8" t="s">
        <v>160</v>
      </c>
      <c r="B153" s="3">
        <v>401</v>
      </c>
      <c r="C153" s="3">
        <v>13652</v>
      </c>
      <c r="D153" s="3">
        <v>1</v>
      </c>
      <c r="E153" s="3">
        <v>148.49</v>
      </c>
      <c r="F153" s="3">
        <v>400</v>
      </c>
      <c r="G153" s="3">
        <v>13503.51</v>
      </c>
      <c r="H153" s="3">
        <v>33.76</v>
      </c>
      <c r="I153" s="3" t="str">
        <f t="shared" si="0"/>
        <v>11/yyyy</v>
      </c>
      <c r="J153" s="3"/>
      <c r="K153" s="3"/>
      <c r="L153" s="3"/>
      <c r="M153" s="3"/>
      <c r="N153" s="3"/>
      <c r="O153" s="3"/>
      <c r="P153" s="3"/>
      <c r="Q153" s="3"/>
      <c r="R153" s="3"/>
      <c r="S153" s="3"/>
      <c r="T153" s="3"/>
      <c r="U153" s="3"/>
      <c r="V153" s="3"/>
      <c r="W153" s="3"/>
      <c r="X153" s="3"/>
      <c r="Y153" s="3"/>
      <c r="Z153" s="3"/>
    </row>
    <row r="154" spans="1:26">
      <c r="A154" s="8" t="s">
        <v>161</v>
      </c>
      <c r="B154" s="3">
        <v>191</v>
      </c>
      <c r="C154" s="3">
        <v>8040.14</v>
      </c>
      <c r="D154" s="3">
        <v>3</v>
      </c>
      <c r="E154" s="3">
        <v>152</v>
      </c>
      <c r="F154" s="3">
        <v>188</v>
      </c>
      <c r="G154" s="3">
        <v>7888.14</v>
      </c>
      <c r="H154" s="3">
        <v>41.96</v>
      </c>
      <c r="I154" s="3" t="str">
        <f t="shared" si="0"/>
        <v>11/yyyy</v>
      </c>
      <c r="J154" s="3"/>
      <c r="K154" s="3"/>
      <c r="L154" s="3"/>
      <c r="M154" s="3"/>
      <c r="N154" s="3"/>
      <c r="O154" s="3"/>
      <c r="P154" s="3"/>
      <c r="Q154" s="3"/>
      <c r="R154" s="3"/>
      <c r="S154" s="3"/>
      <c r="T154" s="3"/>
      <c r="U154" s="3"/>
      <c r="V154" s="3"/>
      <c r="W154" s="3"/>
      <c r="X154" s="3"/>
      <c r="Y154" s="3"/>
      <c r="Z154" s="3"/>
    </row>
    <row r="155" spans="1:26">
      <c r="A155" s="8" t="s">
        <v>162</v>
      </c>
      <c r="B155" s="3">
        <v>274</v>
      </c>
      <c r="C155" s="3">
        <v>8565.6</v>
      </c>
      <c r="D155" s="3">
        <v>4</v>
      </c>
      <c r="E155" s="3">
        <v>258</v>
      </c>
      <c r="F155" s="3">
        <v>270</v>
      </c>
      <c r="G155" s="3">
        <v>8307.6</v>
      </c>
      <c r="H155" s="3">
        <v>30.77</v>
      </c>
      <c r="I155" s="3" t="str">
        <f t="shared" si="0"/>
        <v>12/yyyy</v>
      </c>
      <c r="J155" s="3"/>
      <c r="K155" s="3"/>
      <c r="L155" s="3"/>
      <c r="M155" s="3"/>
      <c r="N155" s="3"/>
      <c r="O155" s="3"/>
      <c r="P155" s="3"/>
      <c r="Q155" s="3"/>
      <c r="R155" s="3"/>
      <c r="S155" s="3"/>
      <c r="T155" s="3"/>
      <c r="U155" s="3"/>
      <c r="V155" s="3"/>
      <c r="W155" s="3"/>
      <c r="X155" s="3"/>
      <c r="Y155" s="3"/>
      <c r="Z155" s="3"/>
    </row>
    <row r="156" spans="1:26">
      <c r="A156" s="8" t="s">
        <v>163</v>
      </c>
      <c r="B156" s="3">
        <v>248</v>
      </c>
      <c r="C156" s="3">
        <v>8035.81</v>
      </c>
      <c r="D156" s="3">
        <v>1</v>
      </c>
      <c r="E156" s="3">
        <v>28</v>
      </c>
      <c r="F156" s="3">
        <v>247</v>
      </c>
      <c r="G156" s="3">
        <v>8007.81</v>
      </c>
      <c r="H156" s="3">
        <v>32.42</v>
      </c>
      <c r="I156" s="3" t="str">
        <f t="shared" si="0"/>
        <v>12/yyyy</v>
      </c>
      <c r="J156" s="3"/>
      <c r="K156" s="3"/>
      <c r="L156" s="3"/>
      <c r="M156" s="3"/>
      <c r="N156" s="3"/>
      <c r="O156" s="3"/>
      <c r="P156" s="3"/>
      <c r="Q156" s="3"/>
      <c r="R156" s="3"/>
      <c r="S156" s="3"/>
      <c r="T156" s="3"/>
      <c r="U156" s="3"/>
      <c r="V156" s="3"/>
      <c r="W156" s="3"/>
      <c r="X156" s="3"/>
      <c r="Y156" s="3"/>
      <c r="Z156" s="3"/>
    </row>
    <row r="157" spans="1:26">
      <c r="A157" s="8" t="s">
        <v>164</v>
      </c>
      <c r="B157" s="3">
        <v>261</v>
      </c>
      <c r="C157" s="3">
        <v>8227.76</v>
      </c>
      <c r="D157" s="3">
        <v>3</v>
      </c>
      <c r="E157" s="3">
        <v>67</v>
      </c>
      <c r="F157" s="3">
        <v>258</v>
      </c>
      <c r="G157" s="3">
        <v>8160.76</v>
      </c>
      <c r="H157" s="3">
        <v>31.63</v>
      </c>
      <c r="I157" s="3" t="str">
        <f t="shared" si="0"/>
        <v>12/yyyy</v>
      </c>
      <c r="J157" s="3"/>
      <c r="K157" s="3"/>
      <c r="L157" s="3"/>
      <c r="M157" s="3"/>
      <c r="N157" s="3"/>
      <c r="O157" s="3"/>
      <c r="P157" s="3"/>
      <c r="Q157" s="3"/>
      <c r="R157" s="3"/>
      <c r="S157" s="3"/>
      <c r="T157" s="3"/>
      <c r="U157" s="3"/>
      <c r="V157" s="3"/>
      <c r="W157" s="3"/>
      <c r="X157" s="3"/>
      <c r="Y157" s="3"/>
      <c r="Z157" s="3"/>
    </row>
    <row r="158" spans="1:26">
      <c r="A158" s="8" t="s">
        <v>165</v>
      </c>
      <c r="B158" s="3">
        <v>264</v>
      </c>
      <c r="C158" s="3">
        <v>7693.57</v>
      </c>
      <c r="D158" s="3">
        <v>1</v>
      </c>
      <c r="E158" s="3">
        <v>38</v>
      </c>
      <c r="F158" s="3">
        <v>263</v>
      </c>
      <c r="G158" s="3">
        <v>7655.57</v>
      </c>
      <c r="H158" s="3">
        <v>29.11</v>
      </c>
      <c r="I158" s="3" t="str">
        <f t="shared" si="0"/>
        <v>12/yyyy</v>
      </c>
      <c r="J158" s="3"/>
      <c r="K158" s="3"/>
      <c r="L158" s="3"/>
      <c r="M158" s="3"/>
      <c r="N158" s="3"/>
      <c r="O158" s="3"/>
      <c r="P158" s="3"/>
      <c r="Q158" s="3"/>
      <c r="R158" s="3"/>
      <c r="S158" s="3"/>
      <c r="T158" s="3"/>
      <c r="U158" s="3"/>
      <c r="V158" s="3"/>
      <c r="W158" s="3"/>
      <c r="X158" s="3"/>
      <c r="Y158" s="3"/>
      <c r="Z158" s="3"/>
    </row>
    <row r="159" spans="1:26">
      <c r="A159" s="8" t="s">
        <v>166</v>
      </c>
      <c r="B159" s="3">
        <v>250</v>
      </c>
      <c r="C159" s="3">
        <v>8304.01</v>
      </c>
      <c r="D159" s="3">
        <v>0</v>
      </c>
      <c r="E159" s="3">
        <v>0</v>
      </c>
      <c r="F159" s="3">
        <v>250</v>
      </c>
      <c r="G159" s="3">
        <v>8304.01</v>
      </c>
      <c r="H159" s="3">
        <v>33.22</v>
      </c>
      <c r="I159" s="3" t="str">
        <f t="shared" si="0"/>
        <v>12/yyyy</v>
      </c>
      <c r="J159" s="3"/>
      <c r="K159" s="3"/>
      <c r="L159" s="3"/>
      <c r="M159" s="3"/>
      <c r="N159" s="3"/>
      <c r="O159" s="3"/>
      <c r="P159" s="3"/>
      <c r="Q159" s="3"/>
      <c r="R159" s="3"/>
      <c r="S159" s="3"/>
      <c r="T159" s="3"/>
      <c r="U159" s="3"/>
      <c r="V159" s="3"/>
      <c r="W159" s="3"/>
      <c r="X159" s="3"/>
      <c r="Y159" s="3"/>
      <c r="Z159" s="3"/>
    </row>
    <row r="160" spans="1:26">
      <c r="A160" s="8" t="s">
        <v>167</v>
      </c>
      <c r="B160" s="3">
        <v>407</v>
      </c>
      <c r="C160" s="3">
        <v>15004.87</v>
      </c>
      <c r="D160" s="3">
        <v>3</v>
      </c>
      <c r="E160" s="3">
        <v>245.5</v>
      </c>
      <c r="F160" s="3">
        <v>404</v>
      </c>
      <c r="G160" s="3">
        <v>14759.37</v>
      </c>
      <c r="H160" s="3">
        <v>36.53</v>
      </c>
      <c r="I160" s="3" t="str">
        <f t="shared" si="0"/>
        <v>12/yyyy</v>
      </c>
      <c r="J160" s="3"/>
      <c r="K160" s="3"/>
      <c r="L160" s="3"/>
      <c r="M160" s="3"/>
      <c r="N160" s="3"/>
      <c r="O160" s="3"/>
      <c r="P160" s="3"/>
      <c r="Q160" s="3"/>
      <c r="R160" s="3"/>
      <c r="S160" s="3"/>
      <c r="T160" s="3"/>
      <c r="U160" s="3"/>
      <c r="V160" s="3"/>
      <c r="W160" s="3"/>
      <c r="X160" s="3"/>
      <c r="Y160" s="3"/>
      <c r="Z160" s="3"/>
    </row>
    <row r="161" spans="1:26">
      <c r="A161" s="8" t="s">
        <v>168</v>
      </c>
      <c r="B161" s="3">
        <v>258</v>
      </c>
      <c r="C161" s="3">
        <v>9422.86</v>
      </c>
      <c r="D161" s="3">
        <v>2</v>
      </c>
      <c r="E161" s="3">
        <v>19</v>
      </c>
      <c r="F161" s="3">
        <v>256</v>
      </c>
      <c r="G161" s="3">
        <v>9403.86</v>
      </c>
      <c r="H161" s="3">
        <v>36.729999999999997</v>
      </c>
      <c r="I161" s="3" t="str">
        <f t="shared" si="0"/>
        <v>12/yyyy</v>
      </c>
      <c r="J161" s="3"/>
      <c r="K161" s="3"/>
      <c r="L161" s="3"/>
      <c r="M161" s="3"/>
      <c r="N161" s="3"/>
      <c r="O161" s="3"/>
      <c r="P161" s="3"/>
      <c r="Q161" s="3"/>
      <c r="R161" s="3"/>
      <c r="S161" s="3"/>
      <c r="T161" s="3"/>
      <c r="U161" s="3"/>
      <c r="V161" s="3"/>
      <c r="W161" s="3"/>
      <c r="X161" s="3"/>
      <c r="Y161" s="3"/>
      <c r="Z161" s="3"/>
    </row>
    <row r="162" spans="1:26">
      <c r="A162" s="8" t="s">
        <v>169</v>
      </c>
      <c r="B162" s="3">
        <v>258</v>
      </c>
      <c r="C162" s="3">
        <v>7643.44</v>
      </c>
      <c r="D162" s="3">
        <v>5</v>
      </c>
      <c r="E162" s="3">
        <v>240.8</v>
      </c>
      <c r="F162" s="3">
        <v>253</v>
      </c>
      <c r="G162" s="3">
        <v>7402.64</v>
      </c>
      <c r="H162" s="3">
        <v>29.26</v>
      </c>
      <c r="I162" s="3" t="str">
        <f t="shared" si="0"/>
        <v>12/yyyy</v>
      </c>
      <c r="J162" s="3"/>
      <c r="K162" s="3"/>
      <c r="L162" s="3"/>
      <c r="M162" s="3"/>
      <c r="N162" s="3"/>
      <c r="O162" s="3"/>
      <c r="P162" s="3"/>
      <c r="Q162" s="3"/>
      <c r="R162" s="3"/>
      <c r="S162" s="3"/>
      <c r="T162" s="3"/>
      <c r="U162" s="3"/>
      <c r="V162" s="3"/>
      <c r="W162" s="3"/>
      <c r="X162" s="3"/>
      <c r="Y162" s="3"/>
      <c r="Z162" s="3"/>
    </row>
    <row r="163" spans="1:26">
      <c r="A163" s="8" t="s">
        <v>170</v>
      </c>
      <c r="B163" s="3">
        <v>219</v>
      </c>
      <c r="C163" s="3">
        <v>6797</v>
      </c>
      <c r="D163" s="3">
        <v>0</v>
      </c>
      <c r="E163" s="3">
        <v>0</v>
      </c>
      <c r="F163" s="3">
        <v>219</v>
      </c>
      <c r="G163" s="3">
        <v>6797</v>
      </c>
      <c r="H163" s="3">
        <v>31.04</v>
      </c>
      <c r="I163" s="3" t="str">
        <f t="shared" si="0"/>
        <v>12/yyyy</v>
      </c>
      <c r="J163" s="3"/>
      <c r="K163" s="3"/>
      <c r="L163" s="3"/>
      <c r="M163" s="3"/>
      <c r="N163" s="3"/>
      <c r="O163" s="3"/>
      <c r="P163" s="3"/>
      <c r="Q163" s="3"/>
      <c r="R163" s="3"/>
      <c r="S163" s="3"/>
      <c r="T163" s="3"/>
      <c r="U163" s="3"/>
      <c r="V163" s="3"/>
      <c r="W163" s="3"/>
      <c r="X163" s="3"/>
      <c r="Y163" s="3"/>
      <c r="Z163" s="3"/>
    </row>
    <row r="164" spans="1:26">
      <c r="A164" s="8" t="s">
        <v>171</v>
      </c>
      <c r="B164" s="3">
        <v>243</v>
      </c>
      <c r="C164" s="3">
        <v>8430.33</v>
      </c>
      <c r="D164" s="3">
        <v>4</v>
      </c>
      <c r="E164" s="3">
        <v>60.4</v>
      </c>
      <c r="F164" s="3">
        <v>239</v>
      </c>
      <c r="G164" s="3">
        <v>8369.93</v>
      </c>
      <c r="H164" s="3">
        <v>35.020000000000003</v>
      </c>
      <c r="I164" s="3" t="str">
        <f t="shared" si="0"/>
        <v>12/yyyy</v>
      </c>
      <c r="J164" s="3"/>
      <c r="K164" s="3"/>
      <c r="L164" s="3"/>
      <c r="M164" s="3"/>
      <c r="N164" s="3"/>
      <c r="O164" s="3"/>
      <c r="P164" s="3"/>
      <c r="Q164" s="3"/>
      <c r="R164" s="3"/>
      <c r="S164" s="3"/>
      <c r="T164" s="3"/>
      <c r="U164" s="3"/>
      <c r="V164" s="3"/>
      <c r="W164" s="3"/>
      <c r="X164" s="3"/>
      <c r="Y164" s="3"/>
      <c r="Z164" s="3"/>
    </row>
    <row r="165" spans="1:26">
      <c r="A165" s="8" t="s">
        <v>172</v>
      </c>
      <c r="B165" s="3">
        <v>268</v>
      </c>
      <c r="C165" s="3">
        <v>8573.68</v>
      </c>
      <c r="D165" s="3">
        <v>0</v>
      </c>
      <c r="E165" s="3">
        <v>0</v>
      </c>
      <c r="F165" s="3">
        <v>268</v>
      </c>
      <c r="G165" s="3">
        <v>8573.68</v>
      </c>
      <c r="H165" s="3">
        <v>31.99</v>
      </c>
      <c r="I165" s="3" t="str">
        <f t="shared" si="0"/>
        <v>12/yyyy</v>
      </c>
      <c r="J165" s="3"/>
      <c r="K165" s="3"/>
      <c r="L165" s="3"/>
      <c r="M165" s="3"/>
      <c r="N165" s="3"/>
      <c r="O165" s="3"/>
      <c r="P165" s="3"/>
      <c r="Q165" s="3"/>
      <c r="R165" s="3"/>
      <c r="S165" s="3"/>
      <c r="T165" s="3"/>
      <c r="U165" s="3"/>
      <c r="V165" s="3"/>
      <c r="W165" s="3"/>
      <c r="X165" s="3"/>
      <c r="Y165" s="3"/>
      <c r="Z165" s="3"/>
    </row>
    <row r="166" spans="1:26">
      <c r="A166" s="8" t="s">
        <v>173</v>
      </c>
      <c r="B166" s="3">
        <v>257</v>
      </c>
      <c r="C166" s="3">
        <v>9369.19</v>
      </c>
      <c r="D166" s="3">
        <v>1</v>
      </c>
      <c r="E166" s="3">
        <v>20</v>
      </c>
      <c r="F166" s="3">
        <v>256</v>
      </c>
      <c r="G166" s="3">
        <v>9349.19</v>
      </c>
      <c r="H166" s="3">
        <v>36.520000000000003</v>
      </c>
      <c r="I166" s="3" t="str">
        <f t="shared" si="0"/>
        <v>12/yyyy</v>
      </c>
      <c r="J166" s="3"/>
      <c r="K166" s="3"/>
      <c r="L166" s="3"/>
      <c r="M166" s="3"/>
      <c r="N166" s="3"/>
      <c r="O166" s="3"/>
      <c r="P166" s="3"/>
      <c r="Q166" s="3"/>
      <c r="R166" s="3"/>
      <c r="S166" s="3"/>
      <c r="T166" s="3"/>
      <c r="U166" s="3"/>
      <c r="V166" s="3"/>
      <c r="W166" s="3"/>
      <c r="X166" s="3"/>
      <c r="Y166" s="3"/>
      <c r="Z166" s="3"/>
    </row>
    <row r="167" spans="1:26">
      <c r="A167" s="8" t="s">
        <v>174</v>
      </c>
      <c r="B167" s="3">
        <v>390</v>
      </c>
      <c r="C167" s="3">
        <v>15645.8</v>
      </c>
      <c r="D167" s="3">
        <v>8</v>
      </c>
      <c r="E167" s="3">
        <v>342.5</v>
      </c>
      <c r="F167" s="3">
        <v>382</v>
      </c>
      <c r="G167" s="3">
        <v>15303.3</v>
      </c>
      <c r="H167" s="3">
        <v>40.06</v>
      </c>
      <c r="I167" s="3" t="str">
        <f t="shared" si="0"/>
        <v>12/yyyy</v>
      </c>
      <c r="J167" s="3"/>
      <c r="K167" s="3"/>
      <c r="L167" s="3"/>
      <c r="M167" s="3"/>
      <c r="N167" s="3"/>
      <c r="O167" s="3"/>
      <c r="P167" s="3"/>
      <c r="Q167" s="3"/>
      <c r="R167" s="3"/>
      <c r="S167" s="3"/>
      <c r="T167" s="3"/>
      <c r="U167" s="3"/>
      <c r="V167" s="3"/>
      <c r="W167" s="3"/>
      <c r="X167" s="3"/>
      <c r="Y167" s="3"/>
      <c r="Z167" s="3"/>
    </row>
    <row r="168" spans="1:26">
      <c r="A168" s="8" t="s">
        <v>175</v>
      </c>
      <c r="B168" s="3">
        <v>279</v>
      </c>
      <c r="C168" s="3">
        <v>9544.16</v>
      </c>
      <c r="D168" s="3">
        <v>2</v>
      </c>
      <c r="E168" s="3">
        <v>75</v>
      </c>
      <c r="F168" s="3">
        <v>277</v>
      </c>
      <c r="G168" s="3">
        <v>9469.16</v>
      </c>
      <c r="H168" s="3">
        <v>34.18</v>
      </c>
      <c r="I168" s="3" t="str">
        <f t="shared" si="0"/>
        <v>12/yyyy</v>
      </c>
      <c r="J168" s="3"/>
      <c r="K168" s="3"/>
      <c r="L168" s="3"/>
      <c r="M168" s="3"/>
      <c r="N168" s="3"/>
      <c r="O168" s="3"/>
      <c r="P168" s="3"/>
      <c r="Q168" s="3"/>
      <c r="R168" s="3"/>
      <c r="S168" s="3"/>
      <c r="T168" s="3"/>
      <c r="U168" s="3"/>
      <c r="V168" s="3"/>
      <c r="W168" s="3"/>
      <c r="X168" s="3"/>
      <c r="Y168" s="3"/>
      <c r="Z168" s="3"/>
    </row>
    <row r="169" spans="1:26">
      <c r="A169" s="8" t="s">
        <v>176</v>
      </c>
      <c r="B169" s="3">
        <v>269</v>
      </c>
      <c r="C169" s="3">
        <v>9274.6</v>
      </c>
      <c r="D169" s="3">
        <v>1</v>
      </c>
      <c r="E169" s="3">
        <v>35</v>
      </c>
      <c r="F169" s="3">
        <v>268</v>
      </c>
      <c r="G169" s="3">
        <v>9239.6</v>
      </c>
      <c r="H169" s="3">
        <v>34.479999999999997</v>
      </c>
      <c r="I169" s="3" t="str">
        <f t="shared" si="0"/>
        <v>12/yyyy</v>
      </c>
      <c r="J169" s="3"/>
      <c r="K169" s="3"/>
      <c r="L169" s="3"/>
      <c r="M169" s="3"/>
      <c r="N169" s="3"/>
      <c r="O169" s="3"/>
      <c r="P169" s="3"/>
      <c r="Q169" s="3"/>
      <c r="R169" s="3"/>
      <c r="S169" s="3"/>
      <c r="T169" s="3"/>
      <c r="U169" s="3"/>
      <c r="V169" s="3"/>
      <c r="W169" s="3"/>
      <c r="X169" s="3"/>
      <c r="Y169" s="3"/>
      <c r="Z169" s="3"/>
    </row>
    <row r="170" spans="1:26">
      <c r="A170" s="8" t="s">
        <v>177</v>
      </c>
      <c r="B170" s="3">
        <v>249</v>
      </c>
      <c r="C170" s="3">
        <v>8715.52</v>
      </c>
      <c r="D170" s="3">
        <v>1</v>
      </c>
      <c r="E170" s="3">
        <v>35</v>
      </c>
      <c r="F170" s="3">
        <v>248</v>
      </c>
      <c r="G170" s="3">
        <v>8680.52</v>
      </c>
      <c r="H170" s="3">
        <v>35</v>
      </c>
      <c r="I170" s="3" t="str">
        <f t="shared" si="0"/>
        <v>12/yyyy</v>
      </c>
      <c r="J170" s="3"/>
      <c r="K170" s="3"/>
      <c r="L170" s="3"/>
      <c r="M170" s="3"/>
      <c r="N170" s="3"/>
      <c r="O170" s="3"/>
      <c r="P170" s="3"/>
      <c r="Q170" s="3"/>
      <c r="R170" s="3"/>
      <c r="S170" s="3"/>
      <c r="T170" s="3"/>
      <c r="U170" s="3"/>
      <c r="V170" s="3"/>
      <c r="W170" s="3"/>
      <c r="X170" s="3"/>
      <c r="Y170" s="3"/>
      <c r="Z170" s="3"/>
    </row>
    <row r="171" spans="1:26">
      <c r="A171" s="8" t="s">
        <v>178</v>
      </c>
      <c r="B171" s="3">
        <v>253</v>
      </c>
      <c r="C171" s="3">
        <v>9248.41</v>
      </c>
      <c r="D171" s="3">
        <v>3</v>
      </c>
      <c r="E171" s="3">
        <v>85</v>
      </c>
      <c r="F171" s="3">
        <v>250</v>
      </c>
      <c r="G171" s="3">
        <v>9163.41</v>
      </c>
      <c r="H171" s="3">
        <v>36.65</v>
      </c>
      <c r="I171" s="3" t="str">
        <f t="shared" si="0"/>
        <v>12/yyyy</v>
      </c>
      <c r="J171" s="3"/>
      <c r="K171" s="3"/>
      <c r="L171" s="3"/>
      <c r="M171" s="3"/>
      <c r="N171" s="3"/>
      <c r="O171" s="3"/>
      <c r="P171" s="3"/>
      <c r="Q171" s="3"/>
      <c r="R171" s="3"/>
      <c r="S171" s="3"/>
      <c r="T171" s="3"/>
      <c r="U171" s="3"/>
      <c r="V171" s="3"/>
      <c r="W171" s="3"/>
      <c r="X171" s="3"/>
      <c r="Y171" s="3"/>
      <c r="Z171" s="3"/>
    </row>
    <row r="172" spans="1:26">
      <c r="A172" s="8" t="s">
        <v>179</v>
      </c>
      <c r="B172" s="3">
        <v>291</v>
      </c>
      <c r="C172" s="3">
        <v>11233.63</v>
      </c>
      <c r="D172" s="3">
        <v>3</v>
      </c>
      <c r="E172" s="3">
        <v>39.1</v>
      </c>
      <c r="F172" s="3">
        <v>288</v>
      </c>
      <c r="G172" s="3">
        <v>11194.53</v>
      </c>
      <c r="H172" s="3">
        <v>38.869999999999997</v>
      </c>
      <c r="I172" s="3" t="str">
        <f t="shared" si="0"/>
        <v>12/yyyy</v>
      </c>
      <c r="J172" s="3"/>
      <c r="K172" s="3"/>
      <c r="L172" s="3"/>
      <c r="M172" s="3"/>
      <c r="N172" s="3"/>
      <c r="O172" s="3"/>
      <c r="P172" s="3"/>
      <c r="Q172" s="3"/>
      <c r="R172" s="3"/>
      <c r="S172" s="3"/>
      <c r="T172" s="3"/>
      <c r="U172" s="3"/>
      <c r="V172" s="3"/>
      <c r="W172" s="3"/>
      <c r="X172" s="3"/>
      <c r="Y172" s="3"/>
      <c r="Z172" s="3"/>
    </row>
    <row r="173" spans="1:26">
      <c r="A173" s="8" t="s">
        <v>180</v>
      </c>
      <c r="B173" s="3">
        <v>294</v>
      </c>
      <c r="C173" s="3">
        <v>14094.95</v>
      </c>
      <c r="D173" s="3">
        <v>1</v>
      </c>
      <c r="E173" s="3">
        <v>85.5</v>
      </c>
      <c r="F173" s="3">
        <v>297</v>
      </c>
      <c r="G173" s="3">
        <v>14009.45</v>
      </c>
      <c r="H173" s="3">
        <v>47.17</v>
      </c>
      <c r="I173" s="3" t="str">
        <f t="shared" si="0"/>
        <v>12/yyyy</v>
      </c>
      <c r="J173" s="3"/>
      <c r="K173" s="3"/>
      <c r="L173" s="3"/>
      <c r="M173" s="3"/>
      <c r="N173" s="3"/>
      <c r="O173" s="3"/>
      <c r="P173" s="3"/>
      <c r="Q173" s="3"/>
      <c r="R173" s="3"/>
      <c r="S173" s="3"/>
      <c r="T173" s="3"/>
      <c r="U173" s="3"/>
      <c r="V173" s="3"/>
      <c r="W173" s="3"/>
      <c r="X173" s="3"/>
      <c r="Y173" s="3"/>
      <c r="Z173" s="3"/>
    </row>
    <row r="174" spans="1:26">
      <c r="A174" s="8" t="s">
        <v>181</v>
      </c>
      <c r="B174" s="3">
        <v>375</v>
      </c>
      <c r="C174" s="3">
        <v>15263.27</v>
      </c>
      <c r="D174" s="3">
        <v>3</v>
      </c>
      <c r="E174" s="3">
        <v>191.9</v>
      </c>
      <c r="F174" s="3">
        <v>372</v>
      </c>
      <c r="G174" s="3">
        <v>15071.37</v>
      </c>
      <c r="H174" s="3">
        <v>40.51</v>
      </c>
      <c r="I174" s="3" t="str">
        <f t="shared" si="0"/>
        <v>12/yyyy</v>
      </c>
      <c r="J174" s="3"/>
      <c r="K174" s="3"/>
      <c r="L174" s="3"/>
      <c r="M174" s="3"/>
      <c r="N174" s="3"/>
      <c r="O174" s="3"/>
      <c r="P174" s="3"/>
      <c r="Q174" s="3"/>
      <c r="R174" s="3"/>
      <c r="S174" s="3"/>
      <c r="T174" s="3"/>
      <c r="U174" s="3"/>
      <c r="V174" s="3"/>
      <c r="W174" s="3"/>
      <c r="X174" s="3"/>
      <c r="Y174" s="3"/>
      <c r="Z174" s="3"/>
    </row>
    <row r="175" spans="1:26">
      <c r="A175" s="8" t="s">
        <v>182</v>
      </c>
      <c r="B175" s="3">
        <v>292</v>
      </c>
      <c r="C175" s="3">
        <v>11801.37</v>
      </c>
      <c r="D175" s="3">
        <v>1</v>
      </c>
      <c r="E175" s="3">
        <v>14.5</v>
      </c>
      <c r="F175" s="3">
        <v>291</v>
      </c>
      <c r="G175" s="3">
        <v>11786.87</v>
      </c>
      <c r="H175" s="3">
        <v>40.5</v>
      </c>
      <c r="I175" s="3" t="str">
        <f t="shared" si="0"/>
        <v>12/yyyy</v>
      </c>
      <c r="J175" s="3"/>
      <c r="K175" s="3"/>
      <c r="L175" s="3"/>
      <c r="M175" s="3"/>
      <c r="N175" s="3"/>
      <c r="O175" s="3"/>
      <c r="P175" s="3"/>
      <c r="Q175" s="3"/>
      <c r="R175" s="3"/>
      <c r="S175" s="3"/>
      <c r="T175" s="3"/>
      <c r="U175" s="3"/>
      <c r="V175" s="3"/>
      <c r="W175" s="3"/>
      <c r="X175" s="3"/>
      <c r="Y175" s="3"/>
      <c r="Z175" s="3"/>
    </row>
    <row r="176" spans="1:26">
      <c r="A176" s="8" t="s">
        <v>183</v>
      </c>
      <c r="B176" s="3">
        <v>240</v>
      </c>
      <c r="C176" s="3">
        <v>7249.53</v>
      </c>
      <c r="D176" s="3">
        <v>1</v>
      </c>
      <c r="E176" s="3">
        <v>0</v>
      </c>
      <c r="F176" s="3">
        <v>240</v>
      </c>
      <c r="G176" s="3">
        <v>7249.53</v>
      </c>
      <c r="H176" s="3">
        <v>30.21</v>
      </c>
      <c r="I176" s="3" t="str">
        <f t="shared" si="0"/>
        <v>12/yyyy</v>
      </c>
      <c r="J176" s="3"/>
      <c r="K176" s="3"/>
      <c r="L176" s="3"/>
      <c r="M176" s="3"/>
      <c r="N176" s="3"/>
      <c r="O176" s="3"/>
      <c r="P176" s="3"/>
      <c r="Q176" s="3"/>
      <c r="R176" s="3"/>
      <c r="S176" s="3"/>
      <c r="T176" s="3"/>
      <c r="U176" s="3"/>
      <c r="V176" s="3"/>
      <c r="W176" s="3"/>
      <c r="X176" s="3"/>
      <c r="Y176" s="3"/>
      <c r="Z176" s="3"/>
    </row>
    <row r="177" spans="1:26">
      <c r="A177" s="8" t="s">
        <v>184</v>
      </c>
      <c r="B177" s="3">
        <v>319</v>
      </c>
      <c r="C177" s="3">
        <v>13683.6</v>
      </c>
      <c r="D177" s="3">
        <v>2</v>
      </c>
      <c r="E177" s="3">
        <v>82.5</v>
      </c>
      <c r="F177" s="3">
        <v>317</v>
      </c>
      <c r="G177" s="3">
        <v>13601.1</v>
      </c>
      <c r="H177" s="3">
        <v>42.91</v>
      </c>
      <c r="I177" s="3" t="str">
        <f t="shared" si="0"/>
        <v>12/yyyy</v>
      </c>
      <c r="J177" s="3"/>
      <c r="K177" s="3"/>
      <c r="L177" s="3"/>
      <c r="M177" s="3"/>
      <c r="N177" s="3"/>
      <c r="O177" s="3"/>
      <c r="P177" s="3"/>
      <c r="Q177" s="3"/>
      <c r="R177" s="3"/>
      <c r="S177" s="3"/>
      <c r="T177" s="3"/>
      <c r="U177" s="3"/>
      <c r="V177" s="3"/>
      <c r="W177" s="3"/>
      <c r="X177" s="3"/>
      <c r="Y177" s="3"/>
      <c r="Z177" s="3"/>
    </row>
    <row r="178" spans="1:26">
      <c r="A178" s="8" t="s">
        <v>185</v>
      </c>
      <c r="B178" s="3">
        <v>726</v>
      </c>
      <c r="C178" s="3">
        <v>43615.22</v>
      </c>
      <c r="D178" s="3">
        <v>6</v>
      </c>
      <c r="E178" s="3">
        <v>367.49</v>
      </c>
      <c r="F178" s="3">
        <v>720</v>
      </c>
      <c r="G178" s="3">
        <v>43247.73</v>
      </c>
      <c r="H178" s="3">
        <v>60.07</v>
      </c>
      <c r="I178" s="3" t="str">
        <f t="shared" si="0"/>
        <v>12/yyyy</v>
      </c>
      <c r="J178" s="3"/>
      <c r="K178" s="3"/>
      <c r="L178" s="3"/>
      <c r="M178" s="3"/>
      <c r="N178" s="3"/>
      <c r="O178" s="3"/>
      <c r="P178" s="3"/>
      <c r="Q178" s="3"/>
      <c r="R178" s="3"/>
      <c r="S178" s="3"/>
      <c r="T178" s="3"/>
      <c r="U178" s="3"/>
      <c r="V178" s="3"/>
      <c r="W178" s="3"/>
      <c r="X178" s="3"/>
      <c r="Y178" s="3"/>
      <c r="Z178" s="3"/>
    </row>
    <row r="179" spans="1:26">
      <c r="A179" s="8" t="s">
        <v>186</v>
      </c>
      <c r="B179" s="3">
        <v>70</v>
      </c>
      <c r="C179" s="3">
        <v>1771</v>
      </c>
      <c r="D179" s="3">
        <v>0</v>
      </c>
      <c r="E179" s="3">
        <v>0</v>
      </c>
      <c r="F179" s="3">
        <v>70</v>
      </c>
      <c r="G179" s="3">
        <v>1771</v>
      </c>
      <c r="H179" s="3">
        <v>25.3</v>
      </c>
      <c r="I179" s="3" t="str">
        <f t="shared" si="0"/>
        <v>12/yyyy</v>
      </c>
      <c r="J179" s="3"/>
      <c r="K179" s="3"/>
      <c r="L179" s="3"/>
      <c r="M179" s="3"/>
      <c r="N179" s="3"/>
      <c r="O179" s="3"/>
      <c r="P179" s="3"/>
      <c r="Q179" s="3"/>
      <c r="R179" s="3"/>
      <c r="S179" s="3"/>
      <c r="T179" s="3"/>
      <c r="U179" s="3"/>
      <c r="V179" s="3"/>
      <c r="W179" s="3"/>
      <c r="X179" s="3"/>
      <c r="Y179" s="3"/>
      <c r="Z179" s="3"/>
    </row>
    <row r="180" spans="1:26">
      <c r="A180" s="8" t="s">
        <v>187</v>
      </c>
      <c r="B180" s="3">
        <v>279</v>
      </c>
      <c r="C180" s="3">
        <v>9203.9500000000007</v>
      </c>
      <c r="D180" s="3">
        <v>3</v>
      </c>
      <c r="E180" s="3">
        <v>112</v>
      </c>
      <c r="F180" s="3">
        <v>276</v>
      </c>
      <c r="G180" s="3">
        <v>9091.9500000000007</v>
      </c>
      <c r="H180" s="3">
        <v>32.94</v>
      </c>
      <c r="I180" s="3" t="str">
        <f t="shared" si="0"/>
        <v>12/yyyy</v>
      </c>
      <c r="J180" s="3"/>
      <c r="K180" s="3"/>
      <c r="L180" s="3"/>
      <c r="M180" s="3"/>
      <c r="N180" s="3"/>
      <c r="O180" s="3"/>
      <c r="P180" s="3"/>
      <c r="Q180" s="3"/>
      <c r="R180" s="3"/>
      <c r="S180" s="3"/>
      <c r="T180" s="3"/>
      <c r="U180" s="3"/>
      <c r="V180" s="3"/>
      <c r="W180" s="3"/>
      <c r="X180" s="3"/>
      <c r="Y180" s="3"/>
      <c r="Z180" s="3"/>
    </row>
    <row r="181" spans="1:26">
      <c r="A181" s="8" t="s">
        <v>188</v>
      </c>
      <c r="B181" s="3">
        <v>311</v>
      </c>
      <c r="C181" s="3">
        <v>9108.82</v>
      </c>
      <c r="D181" s="3">
        <v>3</v>
      </c>
      <c r="E181" s="3">
        <v>36</v>
      </c>
      <c r="F181" s="3">
        <v>308</v>
      </c>
      <c r="G181" s="3">
        <v>9072.82</v>
      </c>
      <c r="H181" s="3">
        <v>29.46</v>
      </c>
      <c r="I181" s="3" t="str">
        <f t="shared" si="0"/>
        <v>12/yyyy</v>
      </c>
      <c r="J181" s="3"/>
      <c r="K181" s="3"/>
      <c r="L181" s="3"/>
      <c r="M181" s="3"/>
      <c r="N181" s="3"/>
      <c r="O181" s="3"/>
      <c r="P181" s="3"/>
      <c r="Q181" s="3"/>
      <c r="R181" s="3"/>
      <c r="S181" s="3"/>
      <c r="T181" s="3"/>
      <c r="U181" s="3"/>
      <c r="V181" s="3"/>
      <c r="W181" s="3"/>
      <c r="X181" s="3"/>
      <c r="Y181" s="3"/>
      <c r="Z181" s="3"/>
    </row>
    <row r="182" spans="1:26">
      <c r="A182" s="8" t="s">
        <v>189</v>
      </c>
      <c r="B182" s="3">
        <v>227</v>
      </c>
      <c r="C182" s="3">
        <v>7868.43</v>
      </c>
      <c r="D182" s="3">
        <v>1</v>
      </c>
      <c r="E182" s="3">
        <v>28</v>
      </c>
      <c r="F182" s="3">
        <v>226</v>
      </c>
      <c r="G182" s="3">
        <v>7840.43</v>
      </c>
      <c r="H182" s="3">
        <v>34.69</v>
      </c>
      <c r="I182" s="3" t="str">
        <f t="shared" si="0"/>
        <v>12/yyyy</v>
      </c>
      <c r="J182" s="3"/>
      <c r="K182" s="3"/>
      <c r="L182" s="3"/>
      <c r="M182" s="3"/>
      <c r="N182" s="3"/>
      <c r="O182" s="3"/>
      <c r="P182" s="3"/>
      <c r="Q182" s="3"/>
      <c r="R182" s="3"/>
      <c r="S182" s="3"/>
      <c r="T182" s="3"/>
      <c r="U182" s="3"/>
      <c r="V182" s="3"/>
      <c r="W182" s="3"/>
      <c r="X182" s="3"/>
      <c r="Y182" s="3"/>
      <c r="Z182" s="3"/>
    </row>
    <row r="183" spans="1:26">
      <c r="A183" s="8" t="s">
        <v>190</v>
      </c>
      <c r="B183" s="3">
        <v>266</v>
      </c>
      <c r="C183" s="3">
        <v>8238.51</v>
      </c>
      <c r="D183" s="3">
        <v>8</v>
      </c>
      <c r="E183" s="3">
        <v>178</v>
      </c>
      <c r="F183" s="3">
        <v>258</v>
      </c>
      <c r="G183" s="3">
        <v>8060.51</v>
      </c>
      <c r="H183" s="3">
        <v>31.24</v>
      </c>
      <c r="I183" s="3" t="str">
        <f t="shared" si="0"/>
        <v>12/yyyy</v>
      </c>
      <c r="J183" s="3"/>
      <c r="K183" s="3"/>
      <c r="L183" s="3"/>
      <c r="M183" s="3"/>
      <c r="N183" s="3"/>
      <c r="O183" s="3"/>
      <c r="P183" s="3"/>
      <c r="Q183" s="3"/>
      <c r="R183" s="3"/>
      <c r="S183" s="3"/>
      <c r="T183" s="3"/>
      <c r="U183" s="3"/>
      <c r="V183" s="3"/>
      <c r="W183" s="3"/>
      <c r="X183" s="3"/>
      <c r="Y183" s="3"/>
      <c r="Z183" s="3"/>
    </row>
    <row r="184" spans="1:26">
      <c r="A184" s="8" t="s">
        <v>191</v>
      </c>
      <c r="B184" s="3">
        <v>281</v>
      </c>
      <c r="C184" s="3">
        <v>9903.2000000000007</v>
      </c>
      <c r="D184" s="3">
        <v>2</v>
      </c>
      <c r="E184" s="3">
        <v>87</v>
      </c>
      <c r="F184" s="3">
        <v>279</v>
      </c>
      <c r="G184" s="3">
        <v>9816.2000000000007</v>
      </c>
      <c r="H184" s="3">
        <v>35.18</v>
      </c>
      <c r="I184" s="3" t="str">
        <f t="shared" si="0"/>
        <v>12/yyyy</v>
      </c>
      <c r="J184" s="3"/>
      <c r="K184" s="3"/>
      <c r="L184" s="3"/>
      <c r="M184" s="3"/>
      <c r="N184" s="3"/>
      <c r="O184" s="3"/>
      <c r="P184" s="3"/>
      <c r="Q184" s="3"/>
      <c r="R184" s="3"/>
      <c r="S184" s="3"/>
      <c r="T184" s="3"/>
      <c r="U184" s="3"/>
      <c r="V184" s="3"/>
      <c r="W184" s="3"/>
      <c r="X184" s="3"/>
      <c r="Y184" s="3"/>
      <c r="Z184" s="3"/>
    </row>
    <row r="185" spans="1:26">
      <c r="A185" s="8" t="s">
        <v>192</v>
      </c>
      <c r="B185" s="3">
        <v>789</v>
      </c>
      <c r="C185" s="3">
        <v>42211.05</v>
      </c>
      <c r="D185" s="3">
        <v>17</v>
      </c>
      <c r="E185" s="3">
        <v>709.9</v>
      </c>
      <c r="F185" s="3">
        <v>772</v>
      </c>
      <c r="G185" s="3">
        <v>41501.15</v>
      </c>
      <c r="H185" s="3">
        <v>53.76</v>
      </c>
      <c r="I185" s="3" t="str">
        <f t="shared" si="0"/>
        <v>12/yyyy</v>
      </c>
      <c r="J185" s="3"/>
      <c r="K185" s="3"/>
      <c r="L185" s="3"/>
      <c r="M185" s="3"/>
      <c r="N185" s="3"/>
      <c r="O185" s="3"/>
      <c r="P185" s="3"/>
      <c r="Q185" s="3"/>
      <c r="R185" s="3"/>
      <c r="S185" s="3"/>
      <c r="T185" s="3"/>
      <c r="U185" s="3"/>
      <c r="V185" s="3"/>
      <c r="W185" s="3"/>
      <c r="X185" s="3"/>
      <c r="Y185" s="3"/>
      <c r="Z185" s="3"/>
    </row>
    <row r="186" spans="1:26">
      <c r="A186" s="8" t="s">
        <v>193</v>
      </c>
      <c r="B186" s="3">
        <v>0</v>
      </c>
      <c r="C186" s="3">
        <v>0</v>
      </c>
      <c r="D186" s="3">
        <v>0</v>
      </c>
      <c r="E186" s="3">
        <v>0</v>
      </c>
      <c r="F186" s="3">
        <v>0</v>
      </c>
      <c r="G186" s="3">
        <v>0</v>
      </c>
      <c r="H186" s="3">
        <v>0</v>
      </c>
      <c r="I186" s="3" t="str">
        <f t="shared" si="0"/>
        <v>01/yyyy</v>
      </c>
      <c r="J186" s="3"/>
      <c r="K186" s="3"/>
      <c r="L186" s="3"/>
      <c r="M186" s="3"/>
      <c r="N186" s="3"/>
      <c r="O186" s="3"/>
      <c r="P186" s="3"/>
      <c r="Q186" s="3"/>
      <c r="R186" s="3"/>
      <c r="S186" s="3"/>
      <c r="T186" s="3"/>
      <c r="U186" s="3"/>
      <c r="V186" s="3"/>
      <c r="W186" s="3"/>
      <c r="X186" s="3"/>
      <c r="Y186" s="3"/>
      <c r="Z186" s="3"/>
    </row>
    <row r="187" spans="1:26">
      <c r="A187" s="8" t="s">
        <v>194</v>
      </c>
      <c r="B187" s="3">
        <v>151</v>
      </c>
      <c r="C187" s="3">
        <v>4510.97</v>
      </c>
      <c r="D187" s="3">
        <v>0</v>
      </c>
      <c r="E187" s="3">
        <v>0</v>
      </c>
      <c r="F187" s="3">
        <v>151</v>
      </c>
      <c r="G187" s="3">
        <v>4510.97</v>
      </c>
      <c r="H187" s="3">
        <v>29.87</v>
      </c>
      <c r="I187" s="3" t="str">
        <f t="shared" si="0"/>
        <v>01/yyyy</v>
      </c>
      <c r="J187" s="3"/>
      <c r="K187" s="3"/>
      <c r="L187" s="3"/>
      <c r="M187" s="3"/>
      <c r="N187" s="3"/>
      <c r="O187" s="3"/>
      <c r="P187" s="3"/>
      <c r="Q187" s="3"/>
      <c r="R187" s="3"/>
      <c r="S187" s="3"/>
      <c r="T187" s="3"/>
      <c r="U187" s="3"/>
      <c r="V187" s="3"/>
      <c r="W187" s="3"/>
      <c r="X187" s="3"/>
      <c r="Y187" s="3"/>
      <c r="Z187" s="3"/>
    </row>
    <row r="188" spans="1:26">
      <c r="A188" s="8" t="s">
        <v>195</v>
      </c>
      <c r="B188" s="3">
        <v>333</v>
      </c>
      <c r="C188" s="3">
        <v>10336.17</v>
      </c>
      <c r="D188" s="3">
        <v>5</v>
      </c>
      <c r="E188" s="3">
        <v>115</v>
      </c>
      <c r="F188" s="3">
        <v>328</v>
      </c>
      <c r="G188" s="3">
        <v>10221.17</v>
      </c>
      <c r="H188" s="3">
        <v>31.16</v>
      </c>
      <c r="I188" s="3" t="str">
        <f t="shared" si="0"/>
        <v>01/yyyy</v>
      </c>
      <c r="J188" s="3"/>
      <c r="K188" s="3"/>
      <c r="L188" s="3"/>
      <c r="M188" s="3"/>
      <c r="N188" s="3"/>
      <c r="O188" s="3"/>
      <c r="P188" s="3"/>
      <c r="Q188" s="3"/>
      <c r="R188" s="3"/>
      <c r="S188" s="3"/>
      <c r="T188" s="3"/>
      <c r="U188" s="3"/>
      <c r="V188" s="3"/>
      <c r="W188" s="3"/>
      <c r="X188" s="3"/>
      <c r="Y188" s="3"/>
      <c r="Z188" s="3"/>
    </row>
    <row r="189" spans="1:26">
      <c r="A189" s="8" t="s">
        <v>196</v>
      </c>
      <c r="B189" s="3">
        <v>274</v>
      </c>
      <c r="C189" s="3">
        <v>9429.5400000000009</v>
      </c>
      <c r="D189" s="3">
        <v>2</v>
      </c>
      <c r="E189" s="3">
        <v>55</v>
      </c>
      <c r="F189" s="3">
        <v>272</v>
      </c>
      <c r="G189" s="3">
        <v>9374.5400000000009</v>
      </c>
      <c r="H189" s="3">
        <v>34.47</v>
      </c>
      <c r="I189" s="3" t="str">
        <f t="shared" si="0"/>
        <v>01/yyyy</v>
      </c>
      <c r="J189" s="3"/>
      <c r="K189" s="3"/>
      <c r="L189" s="3"/>
      <c r="M189" s="3"/>
      <c r="N189" s="3"/>
      <c r="O189" s="3"/>
      <c r="P189" s="3"/>
      <c r="Q189" s="3"/>
      <c r="R189" s="3"/>
      <c r="S189" s="3"/>
      <c r="T189" s="3"/>
      <c r="U189" s="3"/>
      <c r="V189" s="3"/>
      <c r="W189" s="3"/>
      <c r="X189" s="3"/>
      <c r="Y189" s="3"/>
      <c r="Z189" s="3"/>
    </row>
    <row r="190" spans="1:26">
      <c r="A190" s="8" t="s">
        <v>197</v>
      </c>
      <c r="B190" s="3">
        <v>309</v>
      </c>
      <c r="C190" s="3">
        <v>9279.57</v>
      </c>
      <c r="D190" s="3">
        <v>7</v>
      </c>
      <c r="E190" s="3">
        <v>244.5</v>
      </c>
      <c r="F190" s="3">
        <v>302</v>
      </c>
      <c r="G190" s="3">
        <v>9035.07</v>
      </c>
      <c r="H190" s="3">
        <v>29.92</v>
      </c>
      <c r="I190" s="3" t="str">
        <f t="shared" si="0"/>
        <v>01/yyyy</v>
      </c>
      <c r="J190" s="3"/>
      <c r="K190" s="3"/>
      <c r="L190" s="3"/>
      <c r="M190" s="3"/>
      <c r="N190" s="3"/>
      <c r="O190" s="3"/>
      <c r="P190" s="3"/>
      <c r="Q190" s="3"/>
      <c r="R190" s="3"/>
      <c r="S190" s="3"/>
      <c r="T190" s="3"/>
      <c r="U190" s="3"/>
      <c r="V190" s="3"/>
      <c r="W190" s="3"/>
      <c r="X190" s="3"/>
      <c r="Y190" s="3"/>
      <c r="Z190" s="3"/>
    </row>
    <row r="191" spans="1:26">
      <c r="A191" s="8" t="s">
        <v>198</v>
      </c>
      <c r="B191" s="3">
        <v>263</v>
      </c>
      <c r="C191" s="3">
        <v>7435.13</v>
      </c>
      <c r="D191" s="3">
        <v>4</v>
      </c>
      <c r="E191" s="3">
        <v>59</v>
      </c>
      <c r="F191" s="3">
        <v>259</v>
      </c>
      <c r="G191" s="3">
        <v>7376.13</v>
      </c>
      <c r="H191" s="3">
        <v>28.48</v>
      </c>
      <c r="I191" s="3" t="str">
        <f t="shared" si="0"/>
        <v>01/yyyy</v>
      </c>
      <c r="J191" s="3"/>
      <c r="K191" s="3"/>
      <c r="L191" s="3"/>
      <c r="M191" s="3"/>
      <c r="N191" s="3"/>
      <c r="O191" s="3"/>
      <c r="P191" s="3"/>
      <c r="Q191" s="3"/>
      <c r="R191" s="3"/>
      <c r="S191" s="3"/>
      <c r="T191" s="3"/>
      <c r="U191" s="3"/>
      <c r="V191" s="3"/>
      <c r="W191" s="3"/>
      <c r="X191" s="3"/>
      <c r="Y191" s="3"/>
      <c r="Z191" s="3"/>
    </row>
    <row r="192" spans="1:26">
      <c r="A192" s="8" t="s">
        <v>199</v>
      </c>
      <c r="B192" s="3">
        <v>256</v>
      </c>
      <c r="C192" s="3">
        <v>8380.2199999999993</v>
      </c>
      <c r="D192" s="3">
        <v>2</v>
      </c>
      <c r="E192" s="3">
        <v>30</v>
      </c>
      <c r="F192" s="3">
        <v>254</v>
      </c>
      <c r="G192" s="3">
        <v>8350.2199999999993</v>
      </c>
      <c r="H192" s="3">
        <v>32.869999999999997</v>
      </c>
      <c r="I192" s="3" t="str">
        <f t="shared" si="0"/>
        <v>01/yyyy</v>
      </c>
      <c r="J192" s="3"/>
      <c r="K192" s="3"/>
      <c r="L192" s="3"/>
      <c r="M192" s="3"/>
      <c r="N192" s="3"/>
      <c r="O192" s="3"/>
      <c r="P192" s="3"/>
      <c r="Q192" s="3"/>
      <c r="R192" s="3"/>
      <c r="S192" s="3"/>
      <c r="T192" s="3"/>
      <c r="U192" s="3"/>
      <c r="V192" s="3"/>
      <c r="W192" s="3"/>
      <c r="X192" s="3"/>
      <c r="Y192" s="3"/>
      <c r="Z192" s="3"/>
    </row>
    <row r="193" spans="1:26">
      <c r="A193" s="8" t="s">
        <v>200</v>
      </c>
      <c r="B193" s="3">
        <v>246</v>
      </c>
      <c r="C193" s="3">
        <v>7501.08</v>
      </c>
      <c r="D193" s="3">
        <v>3</v>
      </c>
      <c r="E193" s="3">
        <v>44.4</v>
      </c>
      <c r="F193" s="3">
        <v>243</v>
      </c>
      <c r="G193" s="3">
        <v>7456.68</v>
      </c>
      <c r="H193" s="3">
        <v>30.69</v>
      </c>
      <c r="I193" s="3" t="str">
        <f t="shared" si="0"/>
        <v>01/yyyy</v>
      </c>
      <c r="J193" s="3"/>
      <c r="K193" s="3"/>
      <c r="L193" s="3"/>
      <c r="M193" s="3"/>
      <c r="N193" s="3"/>
      <c r="O193" s="3"/>
      <c r="P193" s="3"/>
      <c r="Q193" s="3"/>
      <c r="R193" s="3"/>
      <c r="S193" s="3"/>
      <c r="T193" s="3"/>
      <c r="U193" s="3"/>
      <c r="V193" s="3"/>
      <c r="W193" s="3"/>
      <c r="X193" s="3"/>
      <c r="Y193" s="3"/>
      <c r="Z193" s="3"/>
    </row>
    <row r="194" spans="1:26">
      <c r="A194" s="8" t="s">
        <v>201</v>
      </c>
      <c r="B194" s="3">
        <v>280</v>
      </c>
      <c r="C194" s="3">
        <v>8953.9599999999991</v>
      </c>
      <c r="D194" s="3">
        <v>4</v>
      </c>
      <c r="E194" s="3">
        <v>146</v>
      </c>
      <c r="F194" s="3">
        <v>276</v>
      </c>
      <c r="G194" s="3">
        <v>8807.9599999999991</v>
      </c>
      <c r="H194" s="3">
        <v>31.91</v>
      </c>
      <c r="I194" s="3" t="str">
        <f t="shared" si="0"/>
        <v>01/yyyy</v>
      </c>
      <c r="J194" s="3"/>
      <c r="K194" s="3"/>
      <c r="L194" s="3"/>
      <c r="M194" s="3"/>
      <c r="N194" s="3"/>
      <c r="O194" s="3"/>
      <c r="P194" s="3"/>
      <c r="Q194" s="3"/>
      <c r="R194" s="3"/>
      <c r="S194" s="3"/>
      <c r="T194" s="3"/>
      <c r="U194" s="3"/>
      <c r="V194" s="3"/>
      <c r="W194" s="3"/>
      <c r="X194" s="3"/>
      <c r="Y194" s="3"/>
      <c r="Z194" s="3"/>
    </row>
    <row r="195" spans="1:26">
      <c r="A195" s="8" t="s">
        <v>202</v>
      </c>
      <c r="B195" s="3">
        <v>387</v>
      </c>
      <c r="C195" s="3">
        <v>12756.18</v>
      </c>
      <c r="D195" s="3">
        <v>3</v>
      </c>
      <c r="E195" s="3">
        <v>61.5</v>
      </c>
      <c r="F195" s="3">
        <v>384</v>
      </c>
      <c r="G195" s="3">
        <v>12694.68</v>
      </c>
      <c r="H195" s="3">
        <v>33.06</v>
      </c>
      <c r="I195" s="3" t="str">
        <f t="shared" si="0"/>
        <v>01/yyyy</v>
      </c>
      <c r="J195" s="3"/>
      <c r="K195" s="3"/>
      <c r="L195" s="3"/>
      <c r="M195" s="3"/>
      <c r="N195" s="3"/>
      <c r="O195" s="3"/>
      <c r="P195" s="3"/>
      <c r="Q195" s="3"/>
      <c r="R195" s="3"/>
      <c r="S195" s="3"/>
      <c r="T195" s="3"/>
      <c r="U195" s="3"/>
      <c r="V195" s="3"/>
      <c r="W195" s="3"/>
      <c r="X195" s="3"/>
      <c r="Y195" s="3"/>
      <c r="Z195" s="3"/>
    </row>
    <row r="196" spans="1:26">
      <c r="A196" s="8" t="s">
        <v>203</v>
      </c>
      <c r="B196" s="3">
        <v>255</v>
      </c>
      <c r="C196" s="3">
        <v>8700.01</v>
      </c>
      <c r="D196" s="3">
        <v>2</v>
      </c>
      <c r="E196" s="3">
        <v>92.5</v>
      </c>
      <c r="F196" s="3">
        <v>253</v>
      </c>
      <c r="G196" s="3">
        <v>8607.51</v>
      </c>
      <c r="H196" s="3">
        <v>34.020000000000003</v>
      </c>
      <c r="I196" s="3" t="str">
        <f t="shared" si="0"/>
        <v>01/yyyy</v>
      </c>
      <c r="J196" s="3"/>
      <c r="K196" s="3"/>
      <c r="L196" s="3"/>
      <c r="M196" s="3"/>
      <c r="N196" s="3"/>
      <c r="O196" s="3"/>
      <c r="P196" s="3"/>
      <c r="Q196" s="3"/>
      <c r="R196" s="3"/>
      <c r="S196" s="3"/>
      <c r="T196" s="3"/>
      <c r="U196" s="3"/>
      <c r="V196" s="3"/>
      <c r="W196" s="3"/>
      <c r="X196" s="3"/>
      <c r="Y196" s="3"/>
      <c r="Z196" s="3"/>
    </row>
    <row r="197" spans="1:26">
      <c r="A197" s="8" t="s">
        <v>204</v>
      </c>
      <c r="B197" s="3">
        <v>252</v>
      </c>
      <c r="C197" s="3">
        <v>7921.3</v>
      </c>
      <c r="D197" s="3">
        <v>5</v>
      </c>
      <c r="E197" s="3">
        <v>85.5</v>
      </c>
      <c r="F197" s="3">
        <v>247</v>
      </c>
      <c r="G197" s="3">
        <v>7835.8</v>
      </c>
      <c r="H197" s="3">
        <v>31.72</v>
      </c>
      <c r="I197" s="3" t="str">
        <f t="shared" si="0"/>
        <v>01/yyyy</v>
      </c>
      <c r="J197" s="3"/>
      <c r="K197" s="3"/>
      <c r="L197" s="3"/>
      <c r="M197" s="3"/>
      <c r="N197" s="3"/>
      <c r="O197" s="3"/>
      <c r="P197" s="3"/>
      <c r="Q197" s="3"/>
      <c r="R197" s="3"/>
      <c r="S197" s="3"/>
      <c r="T197" s="3"/>
      <c r="U197" s="3"/>
      <c r="V197" s="3"/>
      <c r="W197" s="3"/>
      <c r="X197" s="3"/>
      <c r="Y197" s="3"/>
      <c r="Z197" s="3"/>
    </row>
    <row r="198" spans="1:26">
      <c r="A198" s="8" t="s">
        <v>205</v>
      </c>
      <c r="B198" s="3">
        <v>239</v>
      </c>
      <c r="C198" s="3">
        <v>7345.11</v>
      </c>
      <c r="D198" s="3">
        <v>6</v>
      </c>
      <c r="E198" s="3">
        <v>89.6</v>
      </c>
      <c r="F198" s="3">
        <v>233</v>
      </c>
      <c r="G198" s="3">
        <v>7255.51</v>
      </c>
      <c r="H198" s="3">
        <v>31.14</v>
      </c>
      <c r="I198" s="3" t="str">
        <f t="shared" si="0"/>
        <v>01/yyyy</v>
      </c>
      <c r="J198" s="3"/>
      <c r="K198" s="3"/>
      <c r="L198" s="3"/>
      <c r="M198" s="3"/>
      <c r="N198" s="3"/>
      <c r="O198" s="3"/>
      <c r="P198" s="3"/>
      <c r="Q198" s="3"/>
      <c r="R198" s="3"/>
      <c r="S198" s="3"/>
      <c r="T198" s="3"/>
      <c r="U198" s="3"/>
      <c r="V198" s="3"/>
      <c r="W198" s="3"/>
      <c r="X198" s="3"/>
      <c r="Y198" s="3"/>
      <c r="Z198" s="3"/>
    </row>
    <row r="199" spans="1:26">
      <c r="A199" s="8" t="s">
        <v>206</v>
      </c>
      <c r="B199" s="3">
        <v>235</v>
      </c>
      <c r="C199" s="3">
        <v>7887.3</v>
      </c>
      <c r="D199" s="3">
        <v>2</v>
      </c>
      <c r="E199" s="3">
        <v>59.2</v>
      </c>
      <c r="F199" s="3">
        <v>233</v>
      </c>
      <c r="G199" s="3">
        <v>7828.1</v>
      </c>
      <c r="H199" s="3">
        <v>33.6</v>
      </c>
      <c r="I199" s="3" t="str">
        <f t="shared" si="0"/>
        <v>01/yyyy</v>
      </c>
      <c r="J199" s="3"/>
      <c r="K199" s="3"/>
      <c r="L199" s="3"/>
      <c r="M199" s="3"/>
      <c r="N199" s="3"/>
      <c r="O199" s="3"/>
      <c r="P199" s="3"/>
      <c r="Q199" s="3"/>
      <c r="R199" s="3"/>
      <c r="S199" s="3"/>
      <c r="T199" s="3"/>
      <c r="U199" s="3"/>
      <c r="V199" s="3"/>
      <c r="W199" s="3"/>
      <c r="X199" s="3"/>
      <c r="Y199" s="3"/>
      <c r="Z199" s="3"/>
    </row>
    <row r="200" spans="1:26">
      <c r="A200" s="8" t="s">
        <v>207</v>
      </c>
      <c r="B200" s="3">
        <v>240</v>
      </c>
      <c r="C200" s="3">
        <v>7662.71</v>
      </c>
      <c r="D200" s="3">
        <v>2</v>
      </c>
      <c r="E200" s="3">
        <v>160.49</v>
      </c>
      <c r="F200" s="3">
        <v>238</v>
      </c>
      <c r="G200" s="3">
        <v>7502.22</v>
      </c>
      <c r="H200" s="3">
        <v>31.52</v>
      </c>
      <c r="I200" s="3" t="str">
        <f t="shared" si="0"/>
        <v>01/yyyy</v>
      </c>
      <c r="J200" s="3"/>
      <c r="K200" s="3"/>
      <c r="L200" s="3"/>
      <c r="M200" s="3"/>
      <c r="N200" s="3"/>
      <c r="O200" s="3"/>
      <c r="P200" s="3"/>
      <c r="Q200" s="3"/>
      <c r="R200" s="3"/>
      <c r="S200" s="3"/>
      <c r="T200" s="3"/>
      <c r="U200" s="3"/>
      <c r="V200" s="3"/>
      <c r="W200" s="3"/>
      <c r="X200" s="3"/>
      <c r="Y200" s="3"/>
      <c r="Z200" s="3"/>
    </row>
    <row r="201" spans="1:26">
      <c r="A201" s="14" t="s">
        <v>208</v>
      </c>
      <c r="B201" s="3">
        <v>298</v>
      </c>
      <c r="C201" s="3">
        <v>10197.65</v>
      </c>
      <c r="D201" s="3">
        <v>2</v>
      </c>
      <c r="E201" s="3">
        <v>14</v>
      </c>
      <c r="F201" s="3">
        <v>296</v>
      </c>
      <c r="G201" s="3">
        <v>10183.65</v>
      </c>
      <c r="H201" s="3">
        <v>34.4</v>
      </c>
      <c r="I201" s="3" t="str">
        <f t="shared" si="0"/>
        <v>01/yyyy</v>
      </c>
      <c r="J201" s="3"/>
      <c r="K201" s="3"/>
      <c r="L201" s="3"/>
      <c r="M201" s="3"/>
      <c r="N201" s="3"/>
      <c r="O201" s="3"/>
      <c r="P201" s="3"/>
      <c r="Q201" s="3"/>
      <c r="R201" s="3"/>
      <c r="S201" s="3"/>
      <c r="T201" s="3"/>
      <c r="U201" s="3"/>
      <c r="V201" s="3"/>
      <c r="W201" s="3"/>
      <c r="X201" s="3"/>
      <c r="Y201" s="3"/>
      <c r="Z201" s="3"/>
    </row>
    <row r="202" spans="1:26">
      <c r="A202" s="14" t="s">
        <v>209</v>
      </c>
      <c r="B202" s="3">
        <v>385</v>
      </c>
      <c r="C202" s="3">
        <v>12418.16</v>
      </c>
      <c r="D202" s="3">
        <v>6</v>
      </c>
      <c r="E202" s="3">
        <v>205.2</v>
      </c>
      <c r="F202" s="3">
        <v>379</v>
      </c>
      <c r="G202" s="3">
        <v>12042.96</v>
      </c>
      <c r="H202" s="3">
        <v>31.78</v>
      </c>
      <c r="I202" s="3" t="str">
        <f t="shared" si="0"/>
        <v>01/yyyy</v>
      </c>
      <c r="J202" s="3"/>
      <c r="K202" s="3"/>
      <c r="L202" s="3"/>
      <c r="M202" s="3"/>
      <c r="N202" s="3"/>
      <c r="O202" s="3"/>
      <c r="P202" s="3"/>
      <c r="Q202" s="3"/>
      <c r="R202" s="3"/>
      <c r="S202" s="3"/>
      <c r="T202" s="3"/>
      <c r="U202" s="3"/>
      <c r="V202" s="3"/>
      <c r="W202" s="3"/>
      <c r="X202" s="3"/>
      <c r="Y202" s="3"/>
      <c r="Z202" s="3"/>
    </row>
    <row r="203" spans="1:26">
      <c r="A203" s="14" t="s">
        <v>210</v>
      </c>
      <c r="B203" s="3">
        <v>249</v>
      </c>
      <c r="C203" s="3">
        <v>10019.77</v>
      </c>
      <c r="D203" s="3">
        <v>1</v>
      </c>
      <c r="E203" s="3">
        <v>62</v>
      </c>
      <c r="F203" s="3">
        <v>248</v>
      </c>
      <c r="G203" s="3">
        <v>9957.77</v>
      </c>
      <c r="H203" s="3">
        <v>40.15</v>
      </c>
      <c r="I203" s="3" t="str">
        <f t="shared" si="0"/>
        <v>01/yyyy</v>
      </c>
      <c r="J203" s="3"/>
      <c r="K203" s="3"/>
      <c r="L203" s="3"/>
      <c r="M203" s="3"/>
      <c r="N203" s="3"/>
      <c r="O203" s="3"/>
      <c r="P203" s="3"/>
      <c r="Q203" s="3"/>
      <c r="R203" s="3"/>
      <c r="S203" s="3"/>
      <c r="T203" s="3"/>
      <c r="U203" s="3"/>
      <c r="V203" s="3"/>
      <c r="W203" s="3"/>
      <c r="X203" s="3"/>
      <c r="Y203" s="3"/>
      <c r="Z203" s="3"/>
    </row>
    <row r="204" spans="1:26">
      <c r="A204" s="14" t="s">
        <v>211</v>
      </c>
      <c r="B204" s="3">
        <v>275</v>
      </c>
      <c r="C204" s="3">
        <v>8899.26</v>
      </c>
      <c r="D204" s="3">
        <v>1</v>
      </c>
      <c r="E204" s="3">
        <v>123.49</v>
      </c>
      <c r="F204" s="3">
        <v>274</v>
      </c>
      <c r="G204" s="3">
        <v>8775.77</v>
      </c>
      <c r="H204" s="3">
        <v>32.03</v>
      </c>
      <c r="I204" s="3" t="str">
        <f t="shared" si="0"/>
        <v>01/yyyy</v>
      </c>
      <c r="J204" s="3"/>
      <c r="K204" s="3"/>
      <c r="L204" s="3"/>
      <c r="M204" s="3"/>
      <c r="N204" s="3"/>
      <c r="O204" s="3"/>
      <c r="P204" s="3"/>
      <c r="Q204" s="3"/>
      <c r="R204" s="3"/>
      <c r="S204" s="3"/>
      <c r="T204" s="3"/>
      <c r="U204" s="3"/>
      <c r="V204" s="3"/>
      <c r="W204" s="3"/>
      <c r="X204" s="3"/>
      <c r="Y204" s="3"/>
      <c r="Z204" s="3"/>
    </row>
    <row r="205" spans="1:26">
      <c r="A205" s="14" t="s">
        <v>212</v>
      </c>
      <c r="B205" s="3">
        <v>257</v>
      </c>
      <c r="C205" s="3">
        <v>8878.56</v>
      </c>
      <c r="D205" s="3">
        <v>1</v>
      </c>
      <c r="E205" s="3">
        <v>24</v>
      </c>
      <c r="F205" s="3">
        <v>256</v>
      </c>
      <c r="G205" s="3">
        <v>8854.56</v>
      </c>
      <c r="H205" s="3">
        <v>34.590000000000003</v>
      </c>
      <c r="I205" s="3" t="str">
        <f t="shared" si="0"/>
        <v>01/yyyy</v>
      </c>
      <c r="J205" s="3"/>
      <c r="K205" s="3"/>
      <c r="L205" s="3"/>
      <c r="M205" s="3"/>
      <c r="N205" s="3"/>
      <c r="O205" s="3"/>
      <c r="P205" s="3"/>
      <c r="Q205" s="3"/>
      <c r="R205" s="3"/>
      <c r="S205" s="3"/>
      <c r="T205" s="3"/>
      <c r="U205" s="3"/>
      <c r="V205" s="3"/>
      <c r="W205" s="3"/>
      <c r="X205" s="3"/>
      <c r="Y205" s="3"/>
      <c r="Z205" s="3"/>
    </row>
    <row r="206" spans="1:26">
      <c r="A206" s="14" t="s">
        <v>213</v>
      </c>
      <c r="B206" s="3">
        <v>252</v>
      </c>
      <c r="C206" s="3">
        <v>6854.27</v>
      </c>
      <c r="D206" s="3">
        <v>3</v>
      </c>
      <c r="E206" s="3">
        <v>138.5</v>
      </c>
      <c r="F206" s="3">
        <v>249</v>
      </c>
      <c r="G206" s="3">
        <v>6715.77</v>
      </c>
      <c r="H206" s="3">
        <v>26.97</v>
      </c>
      <c r="I206" s="3" t="str">
        <f t="shared" si="0"/>
        <v>01/yyyy</v>
      </c>
      <c r="J206" s="3"/>
      <c r="K206" s="3"/>
      <c r="L206" s="3"/>
      <c r="M206" s="3"/>
      <c r="N206" s="3"/>
      <c r="O206" s="3"/>
      <c r="P206" s="3"/>
      <c r="Q206" s="3"/>
      <c r="R206" s="3"/>
      <c r="S206" s="3"/>
      <c r="T206" s="3"/>
      <c r="U206" s="3"/>
      <c r="V206" s="3"/>
      <c r="W206" s="3"/>
      <c r="X206" s="3"/>
      <c r="Y206" s="3"/>
      <c r="Z206" s="3"/>
    </row>
    <row r="207" spans="1:26">
      <c r="A207" s="14" t="s">
        <v>214</v>
      </c>
      <c r="B207" s="3">
        <v>245</v>
      </c>
      <c r="C207" s="3">
        <v>7340.34</v>
      </c>
      <c r="D207" s="3">
        <v>1</v>
      </c>
      <c r="E207" s="3">
        <v>28</v>
      </c>
      <c r="F207" s="3">
        <v>244</v>
      </c>
      <c r="G207" s="3">
        <v>7312.34</v>
      </c>
      <c r="H207" s="3">
        <v>29.97</v>
      </c>
      <c r="I207" s="3" t="str">
        <f t="shared" si="0"/>
        <v>01/yyyy</v>
      </c>
      <c r="J207" s="3"/>
      <c r="K207" s="3"/>
      <c r="L207" s="3"/>
      <c r="M207" s="3"/>
      <c r="N207" s="3"/>
      <c r="O207" s="3"/>
      <c r="P207" s="3"/>
      <c r="Q207" s="3"/>
      <c r="R207" s="3"/>
      <c r="S207" s="3"/>
      <c r="T207" s="3"/>
      <c r="U207" s="3"/>
      <c r="V207" s="3"/>
      <c r="W207" s="3"/>
      <c r="X207" s="3"/>
      <c r="Y207" s="3"/>
      <c r="Z207" s="3"/>
    </row>
    <row r="208" spans="1:26">
      <c r="A208" s="14" t="s">
        <v>215</v>
      </c>
      <c r="B208" s="3">
        <v>280</v>
      </c>
      <c r="C208" s="3">
        <v>8364.26</v>
      </c>
      <c r="D208" s="3">
        <v>1</v>
      </c>
      <c r="E208" s="3">
        <v>12</v>
      </c>
      <c r="F208" s="3">
        <v>279</v>
      </c>
      <c r="G208" s="3">
        <v>8352.26</v>
      </c>
      <c r="H208" s="3">
        <v>29.94</v>
      </c>
      <c r="I208" s="3" t="str">
        <f t="shared" si="0"/>
        <v>01/yyyy</v>
      </c>
      <c r="J208" s="3"/>
      <c r="K208" s="3"/>
      <c r="L208" s="3"/>
      <c r="M208" s="3"/>
      <c r="N208" s="3"/>
      <c r="O208" s="3"/>
      <c r="P208" s="3"/>
      <c r="Q208" s="3"/>
      <c r="R208" s="3"/>
      <c r="S208" s="3"/>
      <c r="T208" s="3"/>
      <c r="U208" s="3"/>
      <c r="V208" s="3"/>
      <c r="W208" s="3"/>
      <c r="X208" s="3"/>
      <c r="Y208" s="3"/>
      <c r="Z208" s="3"/>
    </row>
    <row r="209" spans="1:26">
      <c r="A209" s="14" t="s">
        <v>216</v>
      </c>
      <c r="B209" s="3">
        <v>359</v>
      </c>
      <c r="C209" s="3">
        <v>11294.58</v>
      </c>
      <c r="D209" s="3">
        <v>2</v>
      </c>
      <c r="E209" s="3">
        <v>54.3</v>
      </c>
      <c r="F209" s="3">
        <v>357</v>
      </c>
      <c r="G209" s="3">
        <v>11240.28</v>
      </c>
      <c r="H209" s="3">
        <v>31.49</v>
      </c>
      <c r="I209" s="3" t="str">
        <f t="shared" si="0"/>
        <v>01/yyyy</v>
      </c>
      <c r="J209" s="3"/>
      <c r="K209" s="3"/>
      <c r="L209" s="3"/>
      <c r="M209" s="3"/>
      <c r="N209" s="3"/>
      <c r="O209" s="3"/>
      <c r="P209" s="3"/>
      <c r="Q209" s="3"/>
      <c r="R209" s="3"/>
      <c r="S209" s="3"/>
      <c r="T209" s="3"/>
      <c r="U209" s="3"/>
      <c r="V209" s="3"/>
      <c r="W209" s="3"/>
      <c r="X209" s="3"/>
      <c r="Y209" s="3"/>
      <c r="Z209" s="3"/>
    </row>
    <row r="210" spans="1:26">
      <c r="A210" s="14" t="s">
        <v>217</v>
      </c>
      <c r="B210" s="3">
        <v>250</v>
      </c>
      <c r="C210" s="3">
        <v>8628.18</v>
      </c>
      <c r="D210" s="3">
        <v>3</v>
      </c>
      <c r="E210" s="3">
        <v>144</v>
      </c>
      <c r="F210" s="3">
        <v>247</v>
      </c>
      <c r="G210" s="3">
        <v>8484.18</v>
      </c>
      <c r="H210" s="3">
        <v>34.35</v>
      </c>
      <c r="I210" s="3" t="str">
        <f t="shared" si="0"/>
        <v>01/yyyy</v>
      </c>
      <c r="J210" s="3"/>
      <c r="K210" s="3"/>
      <c r="L210" s="3"/>
      <c r="M210" s="3"/>
      <c r="N210" s="3"/>
      <c r="O210" s="3"/>
      <c r="P210" s="3"/>
      <c r="Q210" s="3"/>
      <c r="R210" s="3"/>
      <c r="S210" s="3"/>
      <c r="T210" s="3"/>
      <c r="U210" s="3"/>
      <c r="V210" s="3"/>
      <c r="W210" s="3"/>
      <c r="X210" s="3"/>
      <c r="Y210" s="3"/>
      <c r="Z210" s="3"/>
    </row>
    <row r="211" spans="1:26">
      <c r="A211" s="14" t="s">
        <v>218</v>
      </c>
      <c r="B211" s="3">
        <v>285</v>
      </c>
      <c r="C211" s="3">
        <v>7910.27</v>
      </c>
      <c r="D211" s="3">
        <v>3</v>
      </c>
      <c r="E211" s="3">
        <v>70.900000000000006</v>
      </c>
      <c r="F211" s="3">
        <v>282</v>
      </c>
      <c r="G211" s="3">
        <v>7839.37</v>
      </c>
      <c r="H211" s="3">
        <v>27.8</v>
      </c>
      <c r="I211" s="3" t="str">
        <f t="shared" si="0"/>
        <v>01/yyyy</v>
      </c>
      <c r="J211" s="3"/>
      <c r="K211" s="3"/>
      <c r="L211" s="3"/>
      <c r="M211" s="3"/>
      <c r="N211" s="3"/>
      <c r="O211" s="3"/>
      <c r="P211" s="3"/>
      <c r="Q211" s="3"/>
      <c r="R211" s="3"/>
      <c r="S211" s="3"/>
      <c r="T211" s="3"/>
      <c r="U211" s="3"/>
      <c r="V211" s="3"/>
      <c r="W211" s="3"/>
      <c r="X211" s="3"/>
      <c r="Y211" s="3"/>
      <c r="Z211" s="3"/>
    </row>
    <row r="212" spans="1:26">
      <c r="A212" s="14" t="s">
        <v>219</v>
      </c>
      <c r="B212" s="3">
        <v>219</v>
      </c>
      <c r="C212" s="3">
        <v>7065.32</v>
      </c>
      <c r="D212" s="3">
        <v>1</v>
      </c>
      <c r="E212" s="3">
        <v>284</v>
      </c>
      <c r="F212" s="3">
        <v>218</v>
      </c>
      <c r="G212" s="3">
        <v>6781.32</v>
      </c>
      <c r="H212" s="3">
        <v>31.11</v>
      </c>
      <c r="I212" s="3" t="str">
        <f t="shared" si="0"/>
        <v>01/yyyy</v>
      </c>
      <c r="J212" s="3"/>
      <c r="K212" s="3"/>
      <c r="L212" s="3"/>
      <c r="M212" s="3"/>
      <c r="N212" s="3"/>
      <c r="O212" s="3"/>
      <c r="P212" s="3"/>
      <c r="Q212" s="3"/>
      <c r="R212" s="3"/>
      <c r="S212" s="3"/>
      <c r="T212" s="3"/>
      <c r="U212" s="3"/>
      <c r="V212" s="3"/>
      <c r="W212" s="3"/>
      <c r="X212" s="3"/>
      <c r="Y212" s="3"/>
      <c r="Z212" s="3"/>
    </row>
    <row r="213" spans="1:26">
      <c r="A213" s="14" t="s">
        <v>220</v>
      </c>
      <c r="B213" s="3">
        <v>255</v>
      </c>
      <c r="C213" s="3">
        <v>8359.7800000000007</v>
      </c>
      <c r="D213" s="3">
        <v>3</v>
      </c>
      <c r="E213" s="3">
        <v>228</v>
      </c>
      <c r="F213" s="3">
        <v>252</v>
      </c>
      <c r="G213" s="3">
        <v>8131.78</v>
      </c>
      <c r="H213" s="3">
        <v>32.270000000000003</v>
      </c>
      <c r="I213" s="3" t="str">
        <f t="shared" si="0"/>
        <v>01/yyyy</v>
      </c>
      <c r="J213" s="3"/>
      <c r="K213" s="3"/>
      <c r="L213" s="3"/>
      <c r="M213" s="3"/>
      <c r="N213" s="3"/>
      <c r="O213" s="3"/>
      <c r="P213" s="3"/>
      <c r="Q213" s="3"/>
      <c r="R213" s="3"/>
      <c r="S213" s="3"/>
      <c r="T213" s="3"/>
      <c r="U213" s="3"/>
      <c r="V213" s="3"/>
      <c r="W213" s="3"/>
      <c r="X213" s="3"/>
      <c r="Y213" s="3"/>
      <c r="Z213" s="3"/>
    </row>
    <row r="214" spans="1:26">
      <c r="A214" s="14" t="s">
        <v>221</v>
      </c>
      <c r="B214" s="3">
        <v>212</v>
      </c>
      <c r="C214" s="3">
        <v>6371.91</v>
      </c>
      <c r="D214" s="3">
        <v>0</v>
      </c>
      <c r="E214" s="3">
        <v>0</v>
      </c>
      <c r="F214" s="3">
        <v>212</v>
      </c>
      <c r="G214" s="3">
        <v>6371.91</v>
      </c>
      <c r="H214" s="3">
        <v>30.06</v>
      </c>
      <c r="I214" s="3" t="str">
        <f t="shared" si="0"/>
        <v>01/yyyy</v>
      </c>
      <c r="J214" s="3"/>
      <c r="K214" s="3"/>
      <c r="L214" s="3"/>
      <c r="M214" s="3"/>
      <c r="N214" s="3"/>
      <c r="O214" s="3"/>
      <c r="P214" s="3"/>
      <c r="Q214" s="3"/>
      <c r="R214" s="3"/>
      <c r="S214" s="3"/>
      <c r="T214" s="3"/>
      <c r="U214" s="3"/>
      <c r="V214" s="3"/>
      <c r="W214" s="3"/>
      <c r="X214" s="3"/>
      <c r="Y214" s="3"/>
      <c r="Z214" s="3"/>
    </row>
    <row r="215" spans="1:26">
      <c r="A215" s="14" t="s">
        <v>222</v>
      </c>
      <c r="B215" s="3">
        <v>269</v>
      </c>
      <c r="C215" s="3">
        <v>8623.93</v>
      </c>
      <c r="D215" s="3">
        <v>1</v>
      </c>
      <c r="E215" s="3">
        <v>37.6</v>
      </c>
      <c r="F215" s="3">
        <v>268</v>
      </c>
      <c r="G215" s="3">
        <v>8586.33</v>
      </c>
      <c r="H215" s="3">
        <v>32.04</v>
      </c>
      <c r="I215" s="3" t="str">
        <f t="shared" si="0"/>
        <v>01/yyyy</v>
      </c>
      <c r="J215" s="3"/>
      <c r="K215" s="3"/>
      <c r="L215" s="3"/>
      <c r="M215" s="3"/>
      <c r="N215" s="3"/>
      <c r="O215" s="3"/>
      <c r="P215" s="3"/>
      <c r="Q215" s="3"/>
      <c r="R215" s="3"/>
      <c r="S215" s="3"/>
      <c r="T215" s="3"/>
      <c r="U215" s="3"/>
      <c r="V215" s="3"/>
      <c r="W215" s="3"/>
      <c r="X215" s="3"/>
      <c r="Y215" s="3"/>
      <c r="Z215" s="3"/>
    </row>
    <row r="216" spans="1:26">
      <c r="A216" s="14" t="s">
        <v>223</v>
      </c>
      <c r="B216" s="3">
        <v>355</v>
      </c>
      <c r="C216" s="3">
        <v>12117.5</v>
      </c>
      <c r="D216" s="3">
        <v>3</v>
      </c>
      <c r="E216" s="3">
        <v>97.6</v>
      </c>
      <c r="F216" s="3">
        <v>352</v>
      </c>
      <c r="G216" s="3">
        <v>12019.9</v>
      </c>
      <c r="H216" s="3">
        <v>34.15</v>
      </c>
      <c r="I216" s="3" t="str">
        <f t="shared" si="0"/>
        <v>01/yyyy</v>
      </c>
      <c r="J216" s="3"/>
      <c r="K216" s="3"/>
      <c r="L216" s="3"/>
      <c r="M216" s="3"/>
      <c r="N216" s="3"/>
      <c r="O216" s="3"/>
      <c r="P216" s="3"/>
      <c r="Q216" s="3"/>
      <c r="R216" s="3"/>
      <c r="S216" s="3"/>
      <c r="T216" s="3"/>
      <c r="U216" s="3"/>
      <c r="V216" s="3"/>
      <c r="W216" s="3"/>
      <c r="X216" s="3"/>
      <c r="Y216" s="3"/>
      <c r="Z216" s="3"/>
    </row>
    <row r="217" spans="1:26">
      <c r="A217" s="14" t="s">
        <v>224</v>
      </c>
      <c r="B217" s="3">
        <v>244</v>
      </c>
      <c r="C217" s="3">
        <v>8261.2999999999993</v>
      </c>
      <c r="D217" s="3">
        <v>1</v>
      </c>
      <c r="E217" s="3">
        <v>5</v>
      </c>
      <c r="F217" s="3">
        <v>243</v>
      </c>
      <c r="G217" s="3">
        <v>8256.2999999999993</v>
      </c>
      <c r="H217" s="3">
        <v>33.979999999999997</v>
      </c>
      <c r="I217" s="3" t="str">
        <f t="shared" si="0"/>
        <v>02/yyyy</v>
      </c>
      <c r="J217" s="3"/>
      <c r="K217" s="3"/>
      <c r="L217" s="3"/>
      <c r="M217" s="3"/>
      <c r="N217" s="3"/>
      <c r="O217" s="3"/>
      <c r="P217" s="3"/>
      <c r="Q217" s="3"/>
      <c r="R217" s="3"/>
      <c r="S217" s="3"/>
      <c r="T217" s="3"/>
      <c r="U217" s="3"/>
      <c r="V217" s="3"/>
      <c r="W217" s="3"/>
      <c r="X217" s="3"/>
      <c r="Y217" s="3"/>
      <c r="Z217" s="3"/>
    </row>
    <row r="218" spans="1:26">
      <c r="A218" s="14" t="s">
        <v>225</v>
      </c>
      <c r="B218" s="3">
        <v>266</v>
      </c>
      <c r="C218" s="3">
        <v>8126.87</v>
      </c>
      <c r="D218" s="3">
        <v>0</v>
      </c>
      <c r="E218" s="3">
        <v>0</v>
      </c>
      <c r="F218" s="3">
        <v>266</v>
      </c>
      <c r="G218" s="3">
        <v>8126.87</v>
      </c>
      <c r="H218" s="3">
        <v>30.55</v>
      </c>
      <c r="I218" s="3" t="str">
        <f t="shared" si="0"/>
        <v>02/yyyy</v>
      </c>
      <c r="J218" s="3"/>
      <c r="K218" s="3"/>
      <c r="L218" s="3"/>
      <c r="M218" s="3"/>
      <c r="N218" s="3"/>
      <c r="O218" s="3"/>
      <c r="P218" s="3"/>
      <c r="Q218" s="3"/>
      <c r="R218" s="3"/>
      <c r="S218" s="3"/>
      <c r="T218" s="3"/>
      <c r="U218" s="3"/>
      <c r="V218" s="3"/>
      <c r="W218" s="3"/>
      <c r="X218" s="3"/>
      <c r="Y218" s="3"/>
      <c r="Z218" s="3"/>
    </row>
    <row r="219" spans="1:26">
      <c r="A219" s="14" t="s">
        <v>226</v>
      </c>
      <c r="B219" s="3">
        <v>273</v>
      </c>
      <c r="C219" s="3">
        <v>7971.25</v>
      </c>
      <c r="D219" s="3">
        <v>4</v>
      </c>
      <c r="E219" s="3">
        <v>108.5</v>
      </c>
      <c r="F219" s="3">
        <v>269</v>
      </c>
      <c r="G219" s="3">
        <v>7862.75</v>
      </c>
      <c r="H219" s="3">
        <v>29.23</v>
      </c>
      <c r="I219" s="3" t="str">
        <f t="shared" si="0"/>
        <v>02/yyyy</v>
      </c>
      <c r="J219" s="3"/>
      <c r="K219" s="3"/>
      <c r="L219" s="3"/>
      <c r="M219" s="3"/>
      <c r="N219" s="3"/>
      <c r="O219" s="3"/>
      <c r="P219" s="3"/>
      <c r="Q219" s="3"/>
      <c r="R219" s="3"/>
      <c r="S219" s="3"/>
      <c r="T219" s="3"/>
      <c r="U219" s="3"/>
      <c r="V219" s="3"/>
      <c r="W219" s="3"/>
      <c r="X219" s="3"/>
      <c r="Y219" s="3"/>
      <c r="Z219" s="3"/>
    </row>
    <row r="220" spans="1:26">
      <c r="A220" s="14" t="s">
        <v>227</v>
      </c>
      <c r="B220" s="3">
        <v>257</v>
      </c>
      <c r="C220" s="3">
        <v>8241.61</v>
      </c>
      <c r="D220" s="3">
        <v>3</v>
      </c>
      <c r="E220" s="3">
        <v>137</v>
      </c>
      <c r="F220" s="3">
        <v>254</v>
      </c>
      <c r="G220" s="3">
        <v>8104.61</v>
      </c>
      <c r="H220" s="3">
        <v>31.91</v>
      </c>
      <c r="I220" s="3" t="str">
        <f t="shared" si="0"/>
        <v>02/yyyy</v>
      </c>
      <c r="J220" s="3"/>
      <c r="K220" s="3"/>
      <c r="L220" s="3"/>
      <c r="M220" s="3"/>
      <c r="N220" s="3"/>
      <c r="O220" s="3"/>
      <c r="P220" s="3"/>
      <c r="Q220" s="3"/>
      <c r="R220" s="3"/>
      <c r="S220" s="3"/>
      <c r="T220" s="3"/>
      <c r="U220" s="3"/>
      <c r="V220" s="3"/>
      <c r="W220" s="3"/>
      <c r="X220" s="3"/>
      <c r="Y220" s="3"/>
      <c r="Z220" s="3"/>
    </row>
    <row r="221" spans="1:26">
      <c r="A221" s="14" t="s">
        <v>228</v>
      </c>
      <c r="B221" s="3">
        <v>260</v>
      </c>
      <c r="C221" s="3">
        <v>7131.19</v>
      </c>
      <c r="D221" s="3">
        <v>1</v>
      </c>
      <c r="E221" s="3">
        <v>32.5</v>
      </c>
      <c r="F221" s="3">
        <v>259</v>
      </c>
      <c r="G221" s="3">
        <v>7098.69</v>
      </c>
      <c r="H221" s="3">
        <v>27.41</v>
      </c>
      <c r="I221" s="3" t="str">
        <f t="shared" si="0"/>
        <v>02/yyyy</v>
      </c>
      <c r="J221" s="3"/>
      <c r="K221" s="3"/>
      <c r="L221" s="3"/>
      <c r="M221" s="3"/>
      <c r="N221" s="3"/>
      <c r="O221" s="3"/>
      <c r="P221" s="3"/>
      <c r="Q221" s="3"/>
      <c r="R221" s="3"/>
      <c r="S221" s="3"/>
      <c r="T221" s="3"/>
      <c r="U221" s="3"/>
      <c r="V221" s="3"/>
      <c r="W221" s="3"/>
      <c r="X221" s="3"/>
      <c r="Y221" s="3"/>
      <c r="Z221" s="3"/>
    </row>
    <row r="222" spans="1:26">
      <c r="A222" s="14" t="s">
        <v>229</v>
      </c>
      <c r="B222" s="3">
        <v>308</v>
      </c>
      <c r="C222" s="3">
        <v>10487.65</v>
      </c>
      <c r="D222" s="3">
        <v>10</v>
      </c>
      <c r="E222" s="3">
        <v>757.2</v>
      </c>
      <c r="F222" s="3">
        <v>363</v>
      </c>
      <c r="G222" s="3">
        <v>9730.4500000000007</v>
      </c>
      <c r="H222" s="3">
        <v>32.65</v>
      </c>
      <c r="I222" s="3" t="str">
        <f t="shared" si="0"/>
        <v>02/yyyy</v>
      </c>
      <c r="J222" s="3"/>
      <c r="K222" s="3"/>
      <c r="L222" s="3"/>
      <c r="M222" s="3"/>
      <c r="N222" s="3"/>
      <c r="O222" s="3"/>
      <c r="P222" s="3"/>
      <c r="Q222" s="3"/>
      <c r="R222" s="3"/>
      <c r="S222" s="3"/>
      <c r="T222" s="3"/>
      <c r="U222" s="3"/>
      <c r="V222" s="3"/>
      <c r="W222" s="3"/>
      <c r="X222" s="3"/>
      <c r="Y222" s="3"/>
      <c r="Z222" s="3"/>
    </row>
    <row r="223" spans="1:26">
      <c r="A223" s="14" t="s">
        <v>230</v>
      </c>
      <c r="B223" s="3">
        <v>372</v>
      </c>
      <c r="C223" s="3">
        <v>12952.86</v>
      </c>
      <c r="D223" s="3">
        <v>9</v>
      </c>
      <c r="E223" s="3">
        <v>209.7</v>
      </c>
      <c r="F223" s="3">
        <v>363</v>
      </c>
      <c r="G223" s="3">
        <v>12743.16</v>
      </c>
      <c r="H223" s="3">
        <v>35.11</v>
      </c>
      <c r="I223" s="3" t="str">
        <f t="shared" si="0"/>
        <v>02/yyyy</v>
      </c>
      <c r="J223" s="3"/>
      <c r="K223" s="3"/>
      <c r="L223" s="3"/>
      <c r="M223" s="3"/>
      <c r="N223" s="3"/>
      <c r="O223" s="3"/>
      <c r="P223" s="3"/>
      <c r="Q223" s="3"/>
      <c r="R223" s="3"/>
      <c r="S223" s="3"/>
      <c r="T223" s="3"/>
      <c r="U223" s="3"/>
      <c r="V223" s="3"/>
      <c r="W223" s="3"/>
      <c r="X223" s="3"/>
      <c r="Y223" s="3"/>
      <c r="Z223" s="3"/>
    </row>
    <row r="224" spans="1:26">
      <c r="A224" s="14" t="s">
        <v>231</v>
      </c>
      <c r="B224" s="3">
        <v>220</v>
      </c>
      <c r="C224" s="3">
        <v>10149.52</v>
      </c>
      <c r="D224" s="3">
        <v>0</v>
      </c>
      <c r="E224" s="3">
        <v>0</v>
      </c>
      <c r="F224" s="3">
        <v>220</v>
      </c>
      <c r="G224" s="3">
        <v>10149.52</v>
      </c>
      <c r="H224" s="3">
        <v>46.13</v>
      </c>
      <c r="I224" s="3" t="str">
        <f t="shared" si="0"/>
        <v>02/yyyy</v>
      </c>
      <c r="J224" s="3"/>
      <c r="K224" s="3"/>
      <c r="L224" s="3"/>
      <c r="M224" s="3"/>
      <c r="N224" s="3"/>
      <c r="O224" s="3"/>
      <c r="P224" s="3"/>
      <c r="Q224" s="3"/>
      <c r="R224" s="3"/>
      <c r="S224" s="3"/>
      <c r="T224" s="3"/>
      <c r="U224" s="3"/>
      <c r="V224" s="3"/>
      <c r="W224" s="3"/>
      <c r="X224" s="3"/>
      <c r="Y224" s="3"/>
      <c r="Z224" s="3"/>
    </row>
    <row r="225" spans="1:26">
      <c r="A225" s="14" t="s">
        <v>232</v>
      </c>
      <c r="B225" s="3">
        <v>270</v>
      </c>
      <c r="C225" s="3">
        <v>7712.46</v>
      </c>
      <c r="D225" s="3">
        <v>1</v>
      </c>
      <c r="E225" s="3">
        <v>24</v>
      </c>
      <c r="F225" s="3">
        <v>269</v>
      </c>
      <c r="G225" s="3">
        <v>7688.46</v>
      </c>
      <c r="H225" s="3">
        <v>28.58</v>
      </c>
      <c r="I225" s="3" t="str">
        <f t="shared" si="0"/>
        <v>02/yyyy</v>
      </c>
      <c r="J225" s="3"/>
      <c r="K225" s="3"/>
      <c r="L225" s="3"/>
      <c r="M225" s="3"/>
      <c r="N225" s="3"/>
      <c r="O225" s="3"/>
      <c r="P225" s="3"/>
      <c r="Q225" s="3"/>
      <c r="R225" s="3"/>
      <c r="S225" s="3"/>
      <c r="T225" s="3"/>
      <c r="U225" s="3"/>
      <c r="V225" s="3"/>
      <c r="W225" s="3"/>
      <c r="X225" s="3"/>
      <c r="Y225" s="3"/>
      <c r="Z225" s="3"/>
    </row>
    <row r="226" spans="1:26">
      <c r="A226" s="14" t="s">
        <v>233</v>
      </c>
      <c r="B226" s="3">
        <v>248</v>
      </c>
      <c r="C226" s="3">
        <v>9244.73</v>
      </c>
      <c r="D226" s="3">
        <v>2</v>
      </c>
      <c r="E226" s="3">
        <v>53</v>
      </c>
      <c r="F226" s="3">
        <v>246</v>
      </c>
      <c r="G226" s="3">
        <v>9191.73</v>
      </c>
      <c r="H226" s="3">
        <v>37.36</v>
      </c>
      <c r="I226" s="3" t="str">
        <f t="shared" si="0"/>
        <v>02/yyyy</v>
      </c>
      <c r="J226" s="3"/>
      <c r="K226" s="3"/>
      <c r="L226" s="3"/>
      <c r="M226" s="3"/>
      <c r="N226" s="3"/>
      <c r="O226" s="3"/>
      <c r="P226" s="3"/>
      <c r="Q226" s="3"/>
      <c r="R226" s="3"/>
      <c r="S226" s="3"/>
      <c r="T226" s="3"/>
      <c r="U226" s="3"/>
      <c r="V226" s="3"/>
      <c r="W226" s="3"/>
      <c r="X226" s="3"/>
      <c r="Y226" s="3"/>
      <c r="Z226" s="3"/>
    </row>
    <row r="227" spans="1:26">
      <c r="A227" s="14" t="s">
        <v>234</v>
      </c>
      <c r="B227" s="3">
        <v>244</v>
      </c>
      <c r="C227" s="3">
        <v>8014.22</v>
      </c>
      <c r="D227" s="3">
        <v>0</v>
      </c>
      <c r="E227" s="3">
        <v>0</v>
      </c>
      <c r="F227" s="3">
        <v>244</v>
      </c>
      <c r="G227" s="3">
        <v>8014.22</v>
      </c>
      <c r="H227" s="3">
        <v>32.85</v>
      </c>
      <c r="I227" s="3" t="str">
        <f t="shared" si="0"/>
        <v>02/yyyy</v>
      </c>
      <c r="J227" s="3"/>
      <c r="K227" s="3"/>
      <c r="L227" s="3"/>
      <c r="M227" s="3"/>
      <c r="N227" s="3"/>
      <c r="O227" s="3"/>
      <c r="P227" s="3"/>
      <c r="Q227" s="3"/>
      <c r="R227" s="3"/>
      <c r="S227" s="3"/>
      <c r="T227" s="3"/>
      <c r="U227" s="3"/>
      <c r="V227" s="3"/>
      <c r="W227" s="3"/>
      <c r="X227" s="3"/>
      <c r="Y227" s="3"/>
      <c r="Z227" s="3"/>
    </row>
    <row r="228" spans="1:26">
      <c r="A228" s="14" t="s">
        <v>235</v>
      </c>
      <c r="B228" s="3">
        <v>239</v>
      </c>
      <c r="C228" s="3">
        <v>6377</v>
      </c>
      <c r="D228" s="3">
        <v>0</v>
      </c>
      <c r="E228" s="3">
        <v>0</v>
      </c>
      <c r="F228" s="3">
        <v>239</v>
      </c>
      <c r="G228" s="3">
        <v>6377</v>
      </c>
      <c r="H228" s="3">
        <v>32.85</v>
      </c>
      <c r="I228" s="3" t="str">
        <f t="shared" si="0"/>
        <v>02/yyyy</v>
      </c>
      <c r="J228" s="3"/>
      <c r="K228" s="3"/>
      <c r="L228" s="3"/>
      <c r="M228" s="3"/>
      <c r="N228" s="3"/>
      <c r="O228" s="3"/>
      <c r="P228" s="3"/>
      <c r="Q228" s="3"/>
      <c r="R228" s="3"/>
      <c r="S228" s="3"/>
      <c r="T228" s="3"/>
      <c r="U228" s="3"/>
      <c r="V228" s="3"/>
      <c r="W228" s="3"/>
      <c r="X228" s="3"/>
      <c r="Y228" s="3"/>
      <c r="Z228" s="3"/>
    </row>
    <row r="229" spans="1:26">
      <c r="A229" s="14" t="s">
        <v>236</v>
      </c>
      <c r="B229" s="3">
        <v>291</v>
      </c>
      <c r="C229" s="3">
        <v>10658.64</v>
      </c>
      <c r="D229" s="3">
        <v>1</v>
      </c>
      <c r="E229" s="3">
        <v>46</v>
      </c>
      <c r="F229" s="3">
        <v>290</v>
      </c>
      <c r="G229" s="3">
        <v>10612.64</v>
      </c>
      <c r="H229" s="3">
        <v>36.6</v>
      </c>
      <c r="I229" s="3" t="str">
        <f t="shared" si="0"/>
        <v>02/yyyy</v>
      </c>
      <c r="J229" s="3"/>
      <c r="K229" s="3"/>
      <c r="L229" s="3"/>
      <c r="M229" s="3"/>
      <c r="N229" s="3"/>
      <c r="O229" s="3"/>
      <c r="P229" s="3"/>
      <c r="Q229" s="3"/>
      <c r="R229" s="3"/>
      <c r="S229" s="3"/>
      <c r="T229" s="3"/>
      <c r="U229" s="3"/>
      <c r="V229" s="3"/>
      <c r="W229" s="3"/>
      <c r="X229" s="3"/>
      <c r="Y229" s="3"/>
      <c r="Z229" s="3"/>
    </row>
    <row r="230" spans="1:26">
      <c r="A230" s="14" t="s">
        <v>237</v>
      </c>
      <c r="B230" s="3">
        <v>387</v>
      </c>
      <c r="C230" s="3">
        <v>12785.28</v>
      </c>
      <c r="D230" s="3">
        <v>1</v>
      </c>
      <c r="E230" s="3">
        <v>26.5</v>
      </c>
      <c r="F230" s="3">
        <v>386</v>
      </c>
      <c r="G230" s="3">
        <v>12758.78</v>
      </c>
      <c r="H230" s="3">
        <v>33.049999999999997</v>
      </c>
      <c r="I230" s="3" t="str">
        <f t="shared" si="0"/>
        <v>02/yyyy</v>
      </c>
      <c r="J230" s="3"/>
      <c r="K230" s="3"/>
      <c r="L230" s="3"/>
      <c r="M230" s="3"/>
      <c r="N230" s="3"/>
      <c r="O230" s="3"/>
      <c r="P230" s="3"/>
      <c r="Q230" s="3"/>
      <c r="R230" s="3"/>
      <c r="S230" s="3"/>
      <c r="T230" s="3"/>
      <c r="U230" s="3"/>
      <c r="V230" s="3"/>
      <c r="W230" s="3"/>
      <c r="X230" s="3"/>
      <c r="Y230" s="3"/>
      <c r="Z230" s="3"/>
    </row>
    <row r="231" spans="1:26">
      <c r="A231" s="14" t="s">
        <v>238</v>
      </c>
      <c r="B231" s="3">
        <v>212</v>
      </c>
      <c r="C231" s="3">
        <v>7763.62</v>
      </c>
      <c r="D231" s="3">
        <v>4</v>
      </c>
      <c r="E231" s="3">
        <v>147.9</v>
      </c>
      <c r="F231" s="3">
        <v>208</v>
      </c>
      <c r="G231" s="3">
        <v>7615.72</v>
      </c>
      <c r="H231" s="3">
        <v>36.61</v>
      </c>
      <c r="I231" s="3" t="str">
        <f t="shared" si="0"/>
        <v>02/yyyy</v>
      </c>
      <c r="J231" s="3"/>
      <c r="K231" s="3"/>
      <c r="L231" s="3"/>
      <c r="M231" s="3"/>
      <c r="N231" s="3"/>
      <c r="O231" s="3"/>
      <c r="P231" s="3"/>
      <c r="Q231" s="3"/>
      <c r="R231" s="3"/>
      <c r="S231" s="3"/>
      <c r="T231" s="3"/>
      <c r="U231" s="3"/>
      <c r="V231" s="3"/>
      <c r="W231" s="3"/>
      <c r="X231" s="3"/>
      <c r="Y231" s="3"/>
      <c r="Z231" s="3"/>
    </row>
    <row r="232" spans="1:26">
      <c r="A232" s="14" t="s">
        <v>239</v>
      </c>
      <c r="B232" s="3">
        <v>66</v>
      </c>
      <c r="C232" s="3">
        <v>1432.9</v>
      </c>
      <c r="D232" s="3">
        <v>0</v>
      </c>
      <c r="E232" s="3">
        <v>0</v>
      </c>
      <c r="F232" s="3">
        <v>66</v>
      </c>
      <c r="G232" s="3">
        <v>1432.9</v>
      </c>
      <c r="H232" s="3">
        <v>21.71</v>
      </c>
      <c r="I232" s="3" t="str">
        <f t="shared" si="0"/>
        <v>02/yyyy</v>
      </c>
      <c r="J232" s="3"/>
      <c r="K232" s="3"/>
      <c r="L232" s="3"/>
      <c r="M232" s="3"/>
      <c r="N232" s="3"/>
      <c r="O232" s="3"/>
      <c r="P232" s="3"/>
      <c r="Q232" s="3"/>
      <c r="R232" s="3"/>
      <c r="S232" s="3"/>
      <c r="T232" s="3"/>
      <c r="U232" s="3"/>
      <c r="V232" s="3"/>
      <c r="W232" s="3"/>
      <c r="X232" s="3"/>
      <c r="Y232" s="3"/>
      <c r="Z232" s="3"/>
    </row>
    <row r="233" spans="1:26">
      <c r="A233" s="14" t="s">
        <v>240</v>
      </c>
      <c r="B233" s="3">
        <v>0</v>
      </c>
      <c r="C233" s="3">
        <v>0</v>
      </c>
      <c r="D233" s="3">
        <v>0</v>
      </c>
      <c r="E233" s="3">
        <v>0</v>
      </c>
      <c r="F233" s="3">
        <v>0</v>
      </c>
      <c r="G233" s="3">
        <v>0</v>
      </c>
      <c r="H233" s="3">
        <v>0</v>
      </c>
      <c r="I233" s="3" t="str">
        <f t="shared" si="0"/>
        <v>02/yyyy</v>
      </c>
      <c r="J233" s="3"/>
      <c r="K233" s="3"/>
      <c r="L233" s="3"/>
      <c r="M233" s="3"/>
      <c r="N233" s="3"/>
      <c r="O233" s="3"/>
      <c r="P233" s="3"/>
      <c r="Q233" s="3"/>
      <c r="R233" s="3"/>
      <c r="S233" s="3"/>
      <c r="T233" s="3"/>
      <c r="U233" s="3"/>
      <c r="V233" s="3"/>
      <c r="W233" s="3"/>
      <c r="X233" s="3"/>
      <c r="Y233" s="3"/>
      <c r="Z233" s="3"/>
    </row>
    <row r="234" spans="1:26">
      <c r="A234" s="8" t="s">
        <v>241</v>
      </c>
      <c r="B234" s="3">
        <v>299</v>
      </c>
      <c r="C234" s="3">
        <v>8886.92</v>
      </c>
      <c r="D234" s="3">
        <v>0</v>
      </c>
      <c r="E234" s="3">
        <v>0</v>
      </c>
      <c r="F234" s="3">
        <v>299</v>
      </c>
      <c r="G234" s="3">
        <v>8886.92</v>
      </c>
      <c r="H234" s="3">
        <v>29.72</v>
      </c>
      <c r="I234" s="3" t="str">
        <f t="shared" si="0"/>
        <v>02/yyyy</v>
      </c>
      <c r="J234" s="3"/>
      <c r="K234" s="3"/>
      <c r="L234" s="3"/>
      <c r="M234" s="3"/>
      <c r="N234" s="3"/>
      <c r="O234" s="3"/>
      <c r="P234" s="3"/>
      <c r="Q234" s="3"/>
      <c r="R234" s="3"/>
      <c r="S234" s="3"/>
      <c r="T234" s="3"/>
      <c r="U234" s="3"/>
      <c r="V234" s="3"/>
      <c r="W234" s="3"/>
      <c r="X234" s="3"/>
      <c r="Y234" s="3"/>
      <c r="Z234" s="3"/>
    </row>
    <row r="235" spans="1:26">
      <c r="A235" s="8" t="s">
        <v>242</v>
      </c>
      <c r="B235" s="3">
        <v>260</v>
      </c>
      <c r="C235" s="3">
        <v>8947.6299999999992</v>
      </c>
      <c r="D235" s="3">
        <v>6</v>
      </c>
      <c r="E235" s="3">
        <v>305.35000000000002</v>
      </c>
      <c r="F235" s="3">
        <v>254</v>
      </c>
      <c r="G235" s="3">
        <v>8642.2800000000007</v>
      </c>
      <c r="H235" s="3">
        <v>34.020000000000003</v>
      </c>
      <c r="I235" s="3" t="str">
        <f t="shared" si="0"/>
        <v>02/yyyy</v>
      </c>
      <c r="J235" s="3"/>
      <c r="K235" s="3"/>
      <c r="L235" s="3"/>
      <c r="M235" s="3"/>
      <c r="N235" s="3"/>
      <c r="O235" s="3"/>
      <c r="P235" s="3"/>
      <c r="Q235" s="3"/>
      <c r="R235" s="3"/>
      <c r="S235" s="3"/>
      <c r="T235" s="3"/>
      <c r="U235" s="3"/>
      <c r="V235" s="3"/>
      <c r="W235" s="3"/>
      <c r="X235" s="3"/>
      <c r="Y235" s="3"/>
      <c r="Z235" s="3"/>
    </row>
    <row r="236" spans="1:26">
      <c r="A236" s="8" t="s">
        <v>243</v>
      </c>
      <c r="B236" s="3">
        <v>247</v>
      </c>
      <c r="C236" s="3">
        <v>7466.89</v>
      </c>
      <c r="D236" s="3">
        <v>0</v>
      </c>
      <c r="E236" s="3">
        <v>0</v>
      </c>
      <c r="F236" s="3">
        <v>247</v>
      </c>
      <c r="G236" s="3">
        <v>7466.89</v>
      </c>
      <c r="H236" s="3">
        <v>30.23</v>
      </c>
      <c r="I236" s="3" t="str">
        <f t="shared" si="0"/>
        <v>02/yyyy</v>
      </c>
      <c r="J236" s="3"/>
      <c r="K236" s="3"/>
      <c r="L236" s="3"/>
      <c r="M236" s="3"/>
      <c r="N236" s="3"/>
      <c r="O236" s="3"/>
      <c r="P236" s="3"/>
      <c r="Q236" s="3"/>
      <c r="R236" s="3"/>
      <c r="S236" s="3"/>
      <c r="T236" s="3"/>
      <c r="U236" s="3"/>
      <c r="V236" s="3"/>
      <c r="W236" s="3"/>
      <c r="X236" s="3"/>
      <c r="Y236" s="3"/>
      <c r="Z236" s="3"/>
    </row>
    <row r="237" spans="1:26">
      <c r="A237" s="8" t="s">
        <v>244</v>
      </c>
      <c r="B237" s="3">
        <v>412</v>
      </c>
      <c r="C237" s="3">
        <v>15632.62</v>
      </c>
      <c r="D237" s="3">
        <v>0</v>
      </c>
      <c r="E237" s="3">
        <v>0</v>
      </c>
      <c r="F237" s="3">
        <v>412</v>
      </c>
      <c r="G237" s="3">
        <v>15632.62</v>
      </c>
      <c r="H237" s="3">
        <v>37.94</v>
      </c>
      <c r="I237" s="3" t="str">
        <f t="shared" si="0"/>
        <v>02/yyyy</v>
      </c>
      <c r="J237" s="3"/>
      <c r="K237" s="3"/>
      <c r="L237" s="3"/>
      <c r="M237" s="3"/>
      <c r="N237" s="3"/>
      <c r="O237" s="3"/>
      <c r="P237" s="3"/>
      <c r="Q237" s="3"/>
      <c r="R237" s="3"/>
      <c r="S237" s="3"/>
      <c r="T237" s="3"/>
      <c r="U237" s="3"/>
      <c r="V237" s="3"/>
      <c r="W237" s="3"/>
      <c r="X237" s="3"/>
      <c r="Y237" s="3"/>
      <c r="Z237" s="3"/>
    </row>
    <row r="238" spans="1:26">
      <c r="A238" s="8" t="s">
        <v>245</v>
      </c>
      <c r="B238" s="3">
        <v>246</v>
      </c>
      <c r="C238" s="3">
        <v>8400.2199999999993</v>
      </c>
      <c r="D238" s="3">
        <v>1</v>
      </c>
      <c r="E238" s="3">
        <v>24</v>
      </c>
      <c r="F238" s="3">
        <v>245</v>
      </c>
      <c r="G238" s="3">
        <v>8376.2199999999993</v>
      </c>
      <c r="H238" s="3">
        <v>34.19</v>
      </c>
      <c r="I238" s="3" t="str">
        <f t="shared" si="0"/>
        <v>02/yyyy</v>
      </c>
      <c r="J238" s="3"/>
      <c r="K238" s="3"/>
      <c r="L238" s="3"/>
      <c r="M238" s="3"/>
      <c r="N238" s="3"/>
      <c r="O238" s="3"/>
      <c r="P238" s="3"/>
      <c r="Q238" s="3"/>
      <c r="R238" s="3"/>
      <c r="S238" s="3"/>
      <c r="T238" s="3"/>
      <c r="U238" s="3"/>
      <c r="V238" s="3"/>
      <c r="W238" s="3"/>
      <c r="X238" s="3"/>
      <c r="Y238" s="3"/>
      <c r="Z238" s="3"/>
    </row>
    <row r="239" spans="1:26">
      <c r="A239" s="8" t="s">
        <v>246</v>
      </c>
      <c r="B239" s="3">
        <v>227</v>
      </c>
      <c r="C239" s="3">
        <v>7111.05</v>
      </c>
      <c r="D239" s="3">
        <v>0</v>
      </c>
      <c r="E239" s="3">
        <v>0</v>
      </c>
      <c r="F239" s="3">
        <v>227</v>
      </c>
      <c r="G239" s="3">
        <v>7111.05</v>
      </c>
      <c r="H239" s="3">
        <v>31.33</v>
      </c>
      <c r="I239" s="3" t="str">
        <f t="shared" si="0"/>
        <v>02/yyyy</v>
      </c>
      <c r="J239" s="3"/>
      <c r="K239" s="3"/>
      <c r="L239" s="3"/>
      <c r="M239" s="3"/>
      <c r="N239" s="3"/>
      <c r="O239" s="3"/>
      <c r="P239" s="3"/>
      <c r="Q239" s="3"/>
      <c r="R239" s="3"/>
      <c r="S239" s="3"/>
      <c r="T239" s="3"/>
      <c r="U239" s="3"/>
      <c r="V239" s="3"/>
      <c r="W239" s="3"/>
      <c r="X239" s="3"/>
      <c r="Y239" s="3"/>
      <c r="Z239" s="3"/>
    </row>
    <row r="240" spans="1:26">
      <c r="A240" s="8" t="s">
        <v>247</v>
      </c>
      <c r="B240" s="3">
        <v>242</v>
      </c>
      <c r="C240" s="3">
        <v>8002.23</v>
      </c>
      <c r="D240" s="3">
        <v>3</v>
      </c>
      <c r="E240" s="3">
        <v>104</v>
      </c>
      <c r="F240" s="3">
        <v>239</v>
      </c>
      <c r="G240" s="3">
        <v>7898.23</v>
      </c>
      <c r="H240" s="3">
        <v>33.049999999999997</v>
      </c>
      <c r="I240" s="3" t="str">
        <f t="shared" si="0"/>
        <v>02/yyyy</v>
      </c>
      <c r="J240" s="3"/>
      <c r="K240" s="3"/>
      <c r="L240" s="3"/>
      <c r="M240" s="3"/>
      <c r="N240" s="3"/>
      <c r="O240" s="3"/>
      <c r="P240" s="3"/>
      <c r="Q240" s="3"/>
      <c r="R240" s="3"/>
      <c r="S240" s="3"/>
      <c r="T240" s="3"/>
      <c r="U240" s="3"/>
      <c r="V240" s="3"/>
      <c r="W240" s="3"/>
      <c r="X240" s="3"/>
      <c r="Y240" s="3"/>
      <c r="Z240" s="3"/>
    </row>
    <row r="241" spans="1:26">
      <c r="A241" s="8" t="s">
        <v>248</v>
      </c>
      <c r="B241" s="3">
        <v>218</v>
      </c>
      <c r="C241" s="3">
        <v>6733.05</v>
      </c>
      <c r="D241" s="3">
        <v>2</v>
      </c>
      <c r="E241" s="3">
        <v>41</v>
      </c>
      <c r="F241" s="3">
        <v>216</v>
      </c>
      <c r="G241" s="3">
        <v>6692.05</v>
      </c>
      <c r="H241" s="3">
        <v>30.98</v>
      </c>
      <c r="I241" s="3" t="str">
        <f t="shared" si="0"/>
        <v>02/yyyy</v>
      </c>
      <c r="J241" s="3"/>
      <c r="K241" s="3"/>
      <c r="L241" s="3"/>
      <c r="M241" s="3"/>
      <c r="N241" s="3"/>
      <c r="O241" s="3"/>
      <c r="P241" s="3"/>
      <c r="Q241" s="3"/>
      <c r="R241" s="3"/>
      <c r="S241" s="3"/>
      <c r="T241" s="3"/>
      <c r="U241" s="3"/>
      <c r="V241" s="3"/>
      <c r="W241" s="3"/>
      <c r="X241" s="3"/>
      <c r="Y241" s="3"/>
      <c r="Z241" s="3"/>
    </row>
    <row r="242" spans="1:26">
      <c r="A242" s="8" t="s">
        <v>249</v>
      </c>
      <c r="B242" s="3">
        <v>219</v>
      </c>
      <c r="C242" s="3">
        <v>6417.43</v>
      </c>
      <c r="D242" s="3">
        <v>0</v>
      </c>
      <c r="E242" s="3">
        <v>0</v>
      </c>
      <c r="F242" s="3">
        <v>219</v>
      </c>
      <c r="G242" s="3">
        <v>6417.43</v>
      </c>
      <c r="H242" s="3">
        <v>29.3</v>
      </c>
      <c r="I242" s="3" t="str">
        <f t="shared" si="0"/>
        <v>02/yyyy</v>
      </c>
      <c r="J242" s="3"/>
      <c r="K242" s="3"/>
      <c r="L242" s="3"/>
      <c r="M242" s="3"/>
      <c r="N242" s="3"/>
      <c r="O242" s="3"/>
      <c r="P242" s="3"/>
      <c r="Q242" s="3"/>
      <c r="R242" s="3"/>
      <c r="S242" s="3"/>
      <c r="T242" s="3"/>
      <c r="U242" s="3"/>
      <c r="V242" s="3"/>
      <c r="W242" s="3"/>
      <c r="X242" s="3"/>
      <c r="Y242" s="3"/>
      <c r="Z242" s="3"/>
    </row>
    <row r="243" spans="1:26">
      <c r="A243" s="8" t="s">
        <v>250</v>
      </c>
      <c r="B243" s="3">
        <v>295</v>
      </c>
      <c r="C243" s="3">
        <v>9712.67</v>
      </c>
      <c r="D243" s="3">
        <v>0</v>
      </c>
      <c r="E243" s="3">
        <v>0</v>
      </c>
      <c r="F243" s="3">
        <v>295</v>
      </c>
      <c r="G243" s="3">
        <v>9712.67</v>
      </c>
      <c r="H243" s="3">
        <v>32.92</v>
      </c>
      <c r="I243" s="3" t="str">
        <f t="shared" si="0"/>
        <v>02/yyyy</v>
      </c>
      <c r="J243" s="3"/>
      <c r="K243" s="3"/>
      <c r="L243" s="3"/>
      <c r="M243" s="3"/>
      <c r="N243" s="3"/>
      <c r="O243" s="3"/>
      <c r="P243" s="3"/>
      <c r="Q243" s="3"/>
      <c r="R243" s="3"/>
      <c r="S243" s="3"/>
      <c r="T243" s="3"/>
      <c r="U243" s="3"/>
      <c r="V243" s="3"/>
      <c r="W243" s="3"/>
      <c r="X243" s="3"/>
      <c r="Y243" s="3"/>
      <c r="Z243" s="3"/>
    </row>
    <row r="244" spans="1:26">
      <c r="A244" s="8" t="s">
        <v>251</v>
      </c>
      <c r="B244" s="3">
        <v>395</v>
      </c>
      <c r="C244" s="3">
        <v>13776.29</v>
      </c>
      <c r="D244" s="3">
        <v>1</v>
      </c>
      <c r="E244" s="3">
        <v>24</v>
      </c>
      <c r="F244" s="3">
        <v>394</v>
      </c>
      <c r="G244" s="3">
        <v>13752.29</v>
      </c>
      <c r="H244" s="3">
        <v>34.9</v>
      </c>
      <c r="I244" s="3" t="str">
        <f t="shared" si="0"/>
        <v>02/yyyy</v>
      </c>
      <c r="J244" s="3"/>
      <c r="K244" s="3"/>
      <c r="L244" s="3"/>
      <c r="M244" s="3"/>
      <c r="N244" s="3"/>
      <c r="O244" s="3"/>
      <c r="P244" s="3"/>
      <c r="Q244" s="3"/>
      <c r="R244" s="3"/>
      <c r="S244" s="3"/>
      <c r="T244" s="3"/>
      <c r="U244" s="3"/>
      <c r="V244" s="3"/>
      <c r="W244" s="3"/>
      <c r="X244" s="3"/>
      <c r="Y244" s="3"/>
      <c r="Z244" s="3"/>
    </row>
    <row r="245" spans="1:26">
      <c r="A245" s="8" t="s">
        <v>252</v>
      </c>
      <c r="B245" s="3">
        <v>245</v>
      </c>
      <c r="C245" s="3">
        <v>8465.98</v>
      </c>
      <c r="D245" s="3">
        <v>1</v>
      </c>
      <c r="E245" s="3">
        <v>38.5</v>
      </c>
      <c r="F245" s="3">
        <v>244</v>
      </c>
      <c r="G245" s="3">
        <v>8427.48</v>
      </c>
      <c r="H245" s="3">
        <v>34.54</v>
      </c>
      <c r="I245" s="3" t="str">
        <f t="shared" si="0"/>
        <v>03/yyyy</v>
      </c>
      <c r="J245" s="3"/>
      <c r="K245" s="3"/>
      <c r="L245" s="3"/>
      <c r="M245" s="3"/>
      <c r="N245" s="3"/>
      <c r="O245" s="3"/>
      <c r="P245" s="3"/>
      <c r="Q245" s="3"/>
      <c r="R245" s="3"/>
      <c r="S245" s="3"/>
      <c r="T245" s="3"/>
      <c r="U245" s="3"/>
      <c r="V245" s="3"/>
      <c r="W245" s="3"/>
      <c r="X245" s="3"/>
      <c r="Y245" s="3"/>
      <c r="Z245" s="3"/>
    </row>
    <row r="246" spans="1:26">
      <c r="A246" s="8" t="s">
        <v>253</v>
      </c>
      <c r="B246" s="3">
        <v>264</v>
      </c>
      <c r="C246" s="3">
        <v>7982.48</v>
      </c>
      <c r="D246" s="3">
        <v>0</v>
      </c>
      <c r="E246" s="3">
        <v>0</v>
      </c>
      <c r="F246" s="3">
        <v>264</v>
      </c>
      <c r="G246" s="3">
        <v>7982.48</v>
      </c>
      <c r="H246" s="3">
        <v>30.24</v>
      </c>
      <c r="I246" s="3" t="str">
        <f t="shared" si="0"/>
        <v>03/yyyy</v>
      </c>
      <c r="J246" s="3"/>
      <c r="K246" s="3"/>
      <c r="L246" s="3"/>
      <c r="M246" s="3"/>
      <c r="N246" s="3"/>
      <c r="O246" s="3"/>
      <c r="P246" s="3"/>
      <c r="Q246" s="3"/>
      <c r="R246" s="3"/>
      <c r="S246" s="3"/>
      <c r="T246" s="3"/>
      <c r="U246" s="3"/>
      <c r="V246" s="3"/>
      <c r="W246" s="3"/>
      <c r="X246" s="3"/>
      <c r="Y246" s="3"/>
      <c r="Z246" s="3"/>
    </row>
    <row r="247" spans="1:26">
      <c r="A247" s="8" t="s">
        <v>254</v>
      </c>
      <c r="B247" s="3">
        <v>276</v>
      </c>
      <c r="C247" s="3">
        <v>9798.69</v>
      </c>
      <c r="D247" s="3">
        <v>7</v>
      </c>
      <c r="E247" s="3">
        <v>303</v>
      </c>
      <c r="F247" s="3">
        <v>269</v>
      </c>
      <c r="G247" s="3">
        <v>9495.69</v>
      </c>
      <c r="H247" s="3">
        <v>35.299999999999997</v>
      </c>
      <c r="I247" s="3" t="str">
        <f t="shared" si="0"/>
        <v>03/yyyy</v>
      </c>
      <c r="J247" s="3"/>
      <c r="K247" s="3"/>
      <c r="L247" s="3"/>
      <c r="M247" s="3"/>
      <c r="N247" s="3"/>
      <c r="O247" s="3"/>
      <c r="P247" s="3"/>
      <c r="Q247" s="3"/>
      <c r="R247" s="3"/>
      <c r="S247" s="3"/>
      <c r="T247" s="3"/>
      <c r="U247" s="3"/>
      <c r="V247" s="3"/>
      <c r="W247" s="3"/>
      <c r="X247" s="3"/>
      <c r="Y247" s="3"/>
      <c r="Z247" s="3"/>
    </row>
    <row r="248" spans="1:26">
      <c r="A248" s="8" t="s">
        <v>255</v>
      </c>
      <c r="B248" s="3">
        <v>253</v>
      </c>
      <c r="C248" s="3">
        <v>7793.32</v>
      </c>
      <c r="D248" s="3">
        <v>0</v>
      </c>
      <c r="E248" s="3">
        <v>0</v>
      </c>
      <c r="F248" s="3">
        <v>253</v>
      </c>
      <c r="G248" s="3">
        <v>7793.32</v>
      </c>
      <c r="H248" s="3">
        <v>30.8</v>
      </c>
      <c r="I248" s="3" t="str">
        <f t="shared" si="0"/>
        <v>03/yyyy</v>
      </c>
      <c r="J248" s="3"/>
      <c r="K248" s="3"/>
      <c r="L248" s="3"/>
      <c r="M248" s="3"/>
      <c r="N248" s="3"/>
      <c r="O248" s="3"/>
      <c r="P248" s="3"/>
      <c r="Q248" s="3"/>
      <c r="R248" s="3"/>
      <c r="S248" s="3"/>
      <c r="T248" s="3"/>
      <c r="U248" s="3"/>
      <c r="V248" s="3"/>
      <c r="W248" s="3"/>
      <c r="X248" s="3"/>
      <c r="Y248" s="3"/>
      <c r="Z248" s="3"/>
    </row>
    <row r="249" spans="1:26">
      <c r="A249" s="8" t="s">
        <v>256</v>
      </c>
      <c r="B249" s="3">
        <v>275</v>
      </c>
      <c r="C249" s="3">
        <v>9553.52</v>
      </c>
      <c r="D249" s="3">
        <v>1</v>
      </c>
      <c r="E249" s="3">
        <v>29</v>
      </c>
      <c r="F249" s="3">
        <v>274</v>
      </c>
      <c r="G249" s="3">
        <v>9524.52</v>
      </c>
      <c r="H249" s="3">
        <v>34.76</v>
      </c>
      <c r="I249" s="3" t="str">
        <f t="shared" si="0"/>
        <v>03/yyyy</v>
      </c>
      <c r="J249" s="3"/>
      <c r="K249" s="3"/>
      <c r="L249" s="3"/>
      <c r="M249" s="3"/>
      <c r="N249" s="3"/>
      <c r="O249" s="3"/>
      <c r="P249" s="3"/>
      <c r="Q249" s="3"/>
      <c r="R249" s="3"/>
      <c r="S249" s="3"/>
      <c r="T249" s="3"/>
      <c r="U249" s="3"/>
      <c r="V249" s="3"/>
      <c r="W249" s="3"/>
      <c r="X249" s="3"/>
      <c r="Y249" s="3"/>
      <c r="Z249" s="3"/>
    </row>
    <row r="250" spans="1:26">
      <c r="A250" s="8" t="s">
        <v>257</v>
      </c>
      <c r="B250" s="3">
        <v>295</v>
      </c>
      <c r="C250" s="3">
        <v>8444.94</v>
      </c>
      <c r="D250" s="3">
        <v>3</v>
      </c>
      <c r="E250" s="3">
        <v>130</v>
      </c>
      <c r="F250" s="3">
        <v>292</v>
      </c>
      <c r="G250" s="3">
        <v>8314.94</v>
      </c>
      <c r="H250" s="3">
        <v>28.48</v>
      </c>
      <c r="I250" s="3" t="str">
        <f t="shared" si="0"/>
        <v>03/yyyy</v>
      </c>
      <c r="J250" s="3"/>
      <c r="K250" s="3"/>
      <c r="L250" s="3"/>
      <c r="M250" s="3"/>
      <c r="N250" s="3"/>
      <c r="O250" s="3"/>
      <c r="P250" s="3"/>
      <c r="Q250" s="3"/>
      <c r="R250" s="3"/>
      <c r="S250" s="3"/>
      <c r="T250" s="3"/>
      <c r="U250" s="3"/>
      <c r="V250" s="3"/>
      <c r="W250" s="3"/>
      <c r="X250" s="3"/>
      <c r="Y250" s="3"/>
      <c r="Z250" s="3"/>
    </row>
    <row r="251" spans="1:26">
      <c r="A251" s="8" t="s">
        <v>258</v>
      </c>
      <c r="B251" s="3">
        <v>405</v>
      </c>
      <c r="C251" s="3">
        <v>14766.82</v>
      </c>
      <c r="D251" s="3">
        <v>3</v>
      </c>
      <c r="E251" s="3">
        <v>348.98</v>
      </c>
      <c r="F251" s="3">
        <v>402</v>
      </c>
      <c r="G251" s="3">
        <v>14417.84</v>
      </c>
      <c r="H251" s="3">
        <v>35.869999999999997</v>
      </c>
      <c r="I251" s="3" t="str">
        <f t="shared" si="0"/>
        <v>03/yyyy</v>
      </c>
      <c r="J251" s="3"/>
      <c r="K251" s="3"/>
      <c r="L251" s="3"/>
      <c r="M251" s="3"/>
      <c r="N251" s="3"/>
      <c r="O251" s="3"/>
      <c r="P251" s="3"/>
      <c r="Q251" s="3"/>
      <c r="R251" s="3"/>
      <c r="S251" s="3"/>
      <c r="T251" s="3"/>
      <c r="U251" s="3"/>
      <c r="V251" s="3"/>
      <c r="W251" s="3"/>
      <c r="X251" s="3"/>
      <c r="Y251" s="3"/>
      <c r="Z251" s="3"/>
    </row>
    <row r="252" spans="1:26">
      <c r="A252" s="8" t="s">
        <v>259</v>
      </c>
      <c r="B252" s="3">
        <v>260</v>
      </c>
      <c r="C252" s="3">
        <v>10983.15</v>
      </c>
      <c r="D252" s="3">
        <v>0</v>
      </c>
      <c r="E252" s="3">
        <v>0</v>
      </c>
      <c r="F252" s="3">
        <v>260</v>
      </c>
      <c r="G252" s="3">
        <v>10983.15</v>
      </c>
      <c r="H252" s="3">
        <v>42.24</v>
      </c>
      <c r="I252" s="3" t="str">
        <f t="shared" si="0"/>
        <v>03/yyyy</v>
      </c>
      <c r="J252" s="3"/>
      <c r="K252" s="3"/>
      <c r="L252" s="3"/>
      <c r="M252" s="3"/>
      <c r="N252" s="3"/>
      <c r="O252" s="3"/>
      <c r="P252" s="3"/>
      <c r="Q252" s="3"/>
      <c r="R252" s="3"/>
      <c r="S252" s="3"/>
      <c r="T252" s="3"/>
      <c r="U252" s="3"/>
      <c r="V252" s="3"/>
      <c r="W252" s="3"/>
      <c r="X252" s="3"/>
      <c r="Y252" s="3"/>
      <c r="Z252" s="3"/>
    </row>
    <row r="253" spans="1:26">
      <c r="A253" s="8" t="s">
        <v>260</v>
      </c>
      <c r="B253" s="3">
        <v>217</v>
      </c>
      <c r="C253" s="3">
        <v>5951.03</v>
      </c>
      <c r="D253" s="3">
        <v>2</v>
      </c>
      <c r="E253" s="3">
        <v>25</v>
      </c>
      <c r="F253" s="3">
        <v>215</v>
      </c>
      <c r="G253" s="3">
        <v>5926.03</v>
      </c>
      <c r="H253" s="3">
        <v>27.56</v>
      </c>
      <c r="I253" s="3" t="str">
        <f t="shared" si="0"/>
        <v>03/yyyy</v>
      </c>
      <c r="J253" s="3"/>
      <c r="K253" s="3"/>
      <c r="L253" s="3"/>
      <c r="M253" s="3"/>
      <c r="N253" s="3"/>
      <c r="O253" s="3"/>
      <c r="P253" s="3"/>
      <c r="Q253" s="3"/>
      <c r="R253" s="3"/>
      <c r="S253" s="3"/>
      <c r="T253" s="3"/>
      <c r="U253" s="3"/>
      <c r="V253" s="3"/>
      <c r="W253" s="3"/>
      <c r="X253" s="3"/>
      <c r="Y253" s="3"/>
      <c r="Z253" s="3"/>
    </row>
    <row r="254" spans="1:26">
      <c r="A254" s="8" t="s">
        <v>261</v>
      </c>
      <c r="B254" s="3">
        <v>236</v>
      </c>
      <c r="C254" s="3">
        <v>7833.46</v>
      </c>
      <c r="D254" s="3">
        <v>0</v>
      </c>
      <c r="E254" s="3">
        <v>0</v>
      </c>
      <c r="F254" s="3">
        <v>236</v>
      </c>
      <c r="G254" s="3">
        <v>7833.46</v>
      </c>
      <c r="H254" s="3">
        <v>33.19</v>
      </c>
      <c r="I254" s="3" t="str">
        <f t="shared" si="0"/>
        <v>03/yyyy</v>
      </c>
      <c r="J254" s="3"/>
      <c r="K254" s="3"/>
      <c r="L254" s="3"/>
      <c r="M254" s="3"/>
      <c r="N254" s="3"/>
      <c r="O254" s="3"/>
      <c r="P254" s="3"/>
      <c r="Q254" s="3"/>
      <c r="R254" s="3"/>
      <c r="S254" s="3"/>
      <c r="T254" s="3"/>
      <c r="U254" s="3"/>
      <c r="V254" s="3"/>
      <c r="W254" s="3"/>
      <c r="X254" s="3"/>
      <c r="Y254" s="3"/>
      <c r="Z254" s="3"/>
    </row>
    <row r="255" spans="1:26">
      <c r="A255" s="8" t="s">
        <v>262</v>
      </c>
      <c r="B255" s="3">
        <v>231</v>
      </c>
      <c r="C255" s="3">
        <v>6985.42</v>
      </c>
      <c r="D255" s="3">
        <v>1</v>
      </c>
      <c r="E255" s="3">
        <v>5</v>
      </c>
      <c r="F255" s="3">
        <v>230</v>
      </c>
      <c r="G255" s="3">
        <v>6980.42</v>
      </c>
      <c r="H255" s="3">
        <v>30.35</v>
      </c>
      <c r="I255" s="3" t="str">
        <f t="shared" si="0"/>
        <v>03/yyyy</v>
      </c>
      <c r="J255" s="3"/>
      <c r="K255" s="3"/>
      <c r="L255" s="3"/>
      <c r="M255" s="3"/>
      <c r="N255" s="3"/>
      <c r="O255" s="3"/>
      <c r="P255" s="3"/>
      <c r="Q255" s="3"/>
      <c r="R255" s="3"/>
      <c r="S255" s="3"/>
      <c r="T255" s="3"/>
      <c r="U255" s="3"/>
      <c r="V255" s="3"/>
      <c r="W255" s="3"/>
      <c r="X255" s="3"/>
      <c r="Y255" s="3"/>
      <c r="Z255" s="3"/>
    </row>
    <row r="256" spans="1:26">
      <c r="A256" s="8" t="s">
        <v>263</v>
      </c>
      <c r="B256" s="3">
        <v>241</v>
      </c>
      <c r="C256" s="3">
        <v>8618.89</v>
      </c>
      <c r="D256" s="3">
        <v>0</v>
      </c>
      <c r="E256" s="3">
        <v>0</v>
      </c>
      <c r="F256" s="3">
        <v>241</v>
      </c>
      <c r="G256" s="3">
        <v>8618.89</v>
      </c>
      <c r="H256" s="3">
        <v>35.76</v>
      </c>
      <c r="I256" s="3" t="str">
        <f t="shared" si="0"/>
        <v>03/yyyy</v>
      </c>
      <c r="J256" s="3"/>
      <c r="K256" s="3"/>
      <c r="L256" s="3"/>
      <c r="M256" s="3"/>
      <c r="N256" s="3"/>
      <c r="O256" s="3"/>
      <c r="P256" s="3"/>
      <c r="Q256" s="3"/>
      <c r="R256" s="3"/>
      <c r="S256" s="3"/>
      <c r="T256" s="3"/>
      <c r="U256" s="3"/>
      <c r="V256" s="3"/>
      <c r="W256" s="3"/>
      <c r="X256" s="3"/>
      <c r="Y256" s="3"/>
      <c r="Z256" s="3"/>
    </row>
    <row r="257" spans="1:26">
      <c r="A257" s="8" t="s">
        <v>264</v>
      </c>
      <c r="B257" s="3">
        <v>268</v>
      </c>
      <c r="C257" s="3">
        <v>8989.0499999999993</v>
      </c>
      <c r="D257" s="3">
        <v>1</v>
      </c>
      <c r="E257" s="3">
        <v>0.03</v>
      </c>
      <c r="F257" s="3">
        <v>267</v>
      </c>
      <c r="G257" s="3">
        <v>8989.02</v>
      </c>
      <c r="H257" s="3">
        <v>33.67</v>
      </c>
      <c r="I257" s="3" t="str">
        <f t="shared" ref="I257:I426" si="1">TEXT(A257,"mm/yyyy")</f>
        <v>03/yyyy</v>
      </c>
      <c r="J257" s="3"/>
      <c r="K257" s="3"/>
      <c r="L257" s="3"/>
      <c r="M257" s="3"/>
      <c r="N257" s="3"/>
      <c r="O257" s="3"/>
      <c r="P257" s="3"/>
      <c r="Q257" s="3"/>
      <c r="R257" s="3"/>
      <c r="S257" s="3"/>
      <c r="T257" s="3"/>
      <c r="U257" s="3"/>
      <c r="V257" s="3"/>
      <c r="W257" s="3"/>
      <c r="X257" s="3"/>
      <c r="Y257" s="3"/>
      <c r="Z257" s="3"/>
    </row>
    <row r="258" spans="1:26">
      <c r="A258" s="8" t="s">
        <v>265</v>
      </c>
      <c r="B258" s="3">
        <v>407</v>
      </c>
      <c r="C258" s="3">
        <v>15736.62</v>
      </c>
      <c r="D258" s="3">
        <v>1</v>
      </c>
      <c r="E258" s="3">
        <v>28</v>
      </c>
      <c r="F258" s="3">
        <v>406</v>
      </c>
      <c r="G258" s="3">
        <v>15708.62</v>
      </c>
      <c r="H258" s="3">
        <v>38.69</v>
      </c>
      <c r="I258" s="3" t="str">
        <f t="shared" si="1"/>
        <v>03/yyyy</v>
      </c>
      <c r="J258" s="3"/>
      <c r="K258" s="3"/>
      <c r="L258" s="3"/>
      <c r="M258" s="3"/>
      <c r="N258" s="3"/>
      <c r="O258" s="3"/>
      <c r="P258" s="3"/>
      <c r="Q258" s="3"/>
      <c r="R258" s="3"/>
      <c r="S258" s="3"/>
      <c r="T258" s="3"/>
      <c r="U258" s="3"/>
      <c r="V258" s="3"/>
      <c r="W258" s="3"/>
      <c r="X258" s="3"/>
      <c r="Y258" s="3"/>
      <c r="Z258" s="3"/>
    </row>
    <row r="259" spans="1:26">
      <c r="A259" s="8" t="s">
        <v>266</v>
      </c>
      <c r="B259" s="3">
        <v>228</v>
      </c>
      <c r="C259" s="3">
        <v>8379.1299999999992</v>
      </c>
      <c r="D259" s="3">
        <v>2</v>
      </c>
      <c r="E259" s="3">
        <v>103</v>
      </c>
      <c r="F259" s="3">
        <v>226</v>
      </c>
      <c r="G259" s="3">
        <v>8276.1299999999992</v>
      </c>
      <c r="H259" s="3">
        <v>36.619999999999997</v>
      </c>
      <c r="I259" s="3" t="str">
        <f t="shared" si="1"/>
        <v>03/yyyy</v>
      </c>
      <c r="J259" s="3"/>
      <c r="K259" s="3"/>
      <c r="L259" s="3"/>
      <c r="M259" s="3"/>
      <c r="N259" s="3"/>
      <c r="O259" s="3"/>
      <c r="P259" s="3"/>
      <c r="Q259" s="3"/>
      <c r="R259" s="3"/>
      <c r="S259" s="3"/>
      <c r="T259" s="3"/>
      <c r="U259" s="3"/>
      <c r="V259" s="3"/>
      <c r="W259" s="3"/>
      <c r="X259" s="3"/>
      <c r="Y259" s="3"/>
      <c r="Z259" s="3"/>
    </row>
    <row r="260" spans="1:26">
      <c r="A260" s="8" t="s">
        <v>267</v>
      </c>
      <c r="B260" s="3">
        <v>213</v>
      </c>
      <c r="C260" s="3">
        <v>6331.96</v>
      </c>
      <c r="D260" s="3">
        <v>3</v>
      </c>
      <c r="E260" s="3">
        <v>185.69</v>
      </c>
      <c r="F260" s="3">
        <v>210</v>
      </c>
      <c r="G260" s="3">
        <v>6146.27</v>
      </c>
      <c r="H260" s="3">
        <v>29.27</v>
      </c>
      <c r="I260" s="3" t="str">
        <f t="shared" si="1"/>
        <v>03/yyyy</v>
      </c>
      <c r="J260" s="3"/>
      <c r="K260" s="3"/>
      <c r="L260" s="3"/>
      <c r="M260" s="3"/>
      <c r="N260" s="3"/>
      <c r="O260" s="3"/>
      <c r="P260" s="3"/>
      <c r="Q260" s="3"/>
      <c r="R260" s="3"/>
      <c r="S260" s="3"/>
      <c r="T260" s="3"/>
      <c r="U260" s="3"/>
      <c r="V260" s="3"/>
      <c r="W260" s="3"/>
      <c r="X260" s="3"/>
      <c r="Y260" s="3"/>
      <c r="Z260" s="3"/>
    </row>
    <row r="261" spans="1:26">
      <c r="A261" s="8" t="s">
        <v>268</v>
      </c>
      <c r="B261" s="3">
        <v>238</v>
      </c>
      <c r="C261" s="3">
        <v>7145.71</v>
      </c>
      <c r="D261" s="3">
        <v>1</v>
      </c>
      <c r="E261" s="3">
        <v>10</v>
      </c>
      <c r="F261" s="3">
        <v>237</v>
      </c>
      <c r="G261" s="3">
        <v>7135.71</v>
      </c>
      <c r="H261" s="3">
        <v>30.11</v>
      </c>
      <c r="I261" s="3" t="str">
        <f t="shared" si="1"/>
        <v>03/yyyy</v>
      </c>
      <c r="J261" s="3"/>
      <c r="K261" s="3"/>
      <c r="L261" s="3"/>
      <c r="M261" s="3"/>
      <c r="N261" s="3"/>
      <c r="O261" s="3"/>
      <c r="P261" s="3"/>
      <c r="Q261" s="3"/>
      <c r="R261" s="3"/>
      <c r="S261" s="3"/>
      <c r="T261" s="3"/>
      <c r="U261" s="3"/>
      <c r="V261" s="3"/>
      <c r="W261" s="3"/>
      <c r="X261" s="3"/>
      <c r="Y261" s="3"/>
      <c r="Z261" s="3"/>
    </row>
    <row r="262" spans="1:26">
      <c r="A262" s="8" t="s">
        <v>269</v>
      </c>
      <c r="B262" s="3">
        <v>244</v>
      </c>
      <c r="C262" s="3">
        <v>9208.5</v>
      </c>
      <c r="D262" s="3">
        <v>1</v>
      </c>
      <c r="E262" s="3">
        <v>88</v>
      </c>
      <c r="F262" s="3">
        <v>243</v>
      </c>
      <c r="G262" s="3">
        <v>9120.5</v>
      </c>
      <c r="H262" s="3">
        <v>37.53</v>
      </c>
      <c r="I262" s="3" t="str">
        <f t="shared" si="1"/>
        <v>03/yyyy</v>
      </c>
      <c r="J262" s="3"/>
      <c r="K262" s="3"/>
      <c r="L262" s="3"/>
      <c r="M262" s="3"/>
      <c r="N262" s="3"/>
      <c r="O262" s="3"/>
      <c r="P262" s="3"/>
      <c r="Q262" s="3"/>
      <c r="R262" s="3"/>
      <c r="S262" s="3"/>
      <c r="T262" s="3"/>
      <c r="U262" s="3"/>
      <c r="V262" s="3"/>
      <c r="W262" s="3"/>
      <c r="X262" s="3"/>
      <c r="Y262" s="3"/>
      <c r="Z262" s="3"/>
    </row>
    <row r="263" spans="1:26">
      <c r="A263" s="8" t="s">
        <v>270</v>
      </c>
      <c r="B263" s="3">
        <v>331</v>
      </c>
      <c r="C263" s="3">
        <v>11900.4</v>
      </c>
      <c r="D263" s="3">
        <v>1</v>
      </c>
      <c r="E263" s="3">
        <v>60</v>
      </c>
      <c r="F263" s="3">
        <v>330</v>
      </c>
      <c r="G263" s="3">
        <v>11840.4</v>
      </c>
      <c r="H263" s="3">
        <v>35.880000000000003</v>
      </c>
      <c r="I263" s="3" t="str">
        <f t="shared" si="1"/>
        <v>03/yyyy</v>
      </c>
      <c r="J263" s="3"/>
      <c r="K263" s="3"/>
      <c r="L263" s="3"/>
      <c r="M263" s="3"/>
      <c r="N263" s="3"/>
      <c r="O263" s="3"/>
      <c r="P263" s="3"/>
      <c r="Q263" s="3"/>
      <c r="R263" s="3"/>
      <c r="S263" s="3"/>
      <c r="T263" s="3"/>
      <c r="U263" s="3"/>
      <c r="V263" s="3"/>
      <c r="W263" s="3"/>
      <c r="X263" s="3"/>
      <c r="Y263" s="3"/>
      <c r="Z263" s="3"/>
    </row>
    <row r="264" spans="1:26">
      <c r="A264" s="8" t="s">
        <v>271</v>
      </c>
      <c r="B264" s="3">
        <v>261</v>
      </c>
      <c r="C264" s="3">
        <v>9289.65</v>
      </c>
      <c r="D264" s="3">
        <v>1</v>
      </c>
      <c r="E264" s="3">
        <v>19.5</v>
      </c>
      <c r="F264" s="3">
        <v>260</v>
      </c>
      <c r="G264" s="3">
        <v>9270.15</v>
      </c>
      <c r="H264" s="3">
        <v>35.65</v>
      </c>
      <c r="I264" s="3" t="str">
        <f t="shared" si="1"/>
        <v>03/yyyy</v>
      </c>
      <c r="J264" s="3"/>
      <c r="K264" s="3"/>
      <c r="L264" s="3"/>
      <c r="M264" s="3"/>
      <c r="N264" s="3"/>
      <c r="O264" s="3"/>
      <c r="P264" s="3"/>
      <c r="Q264" s="3"/>
      <c r="R264" s="3"/>
      <c r="S264" s="3"/>
      <c r="T264" s="3"/>
      <c r="U264" s="3"/>
      <c r="V264" s="3"/>
      <c r="W264" s="3"/>
      <c r="X264" s="3"/>
      <c r="Y264" s="3"/>
      <c r="Z264" s="3"/>
    </row>
    <row r="265" spans="1:26">
      <c r="A265" s="8" t="s">
        <v>272</v>
      </c>
      <c r="B265" s="3">
        <v>361</v>
      </c>
      <c r="C265" s="3">
        <v>11383.75</v>
      </c>
      <c r="D265" s="3">
        <v>5</v>
      </c>
      <c r="E265" s="3">
        <v>259</v>
      </c>
      <c r="F265" s="3">
        <v>356</v>
      </c>
      <c r="G265" s="3">
        <v>11124.75</v>
      </c>
      <c r="H265" s="3">
        <v>31.25</v>
      </c>
      <c r="I265" s="3" t="str">
        <f t="shared" si="1"/>
        <v>03/yyyy</v>
      </c>
      <c r="J265" s="3"/>
      <c r="K265" s="3"/>
      <c r="L265" s="3"/>
      <c r="M265" s="3"/>
      <c r="N265" s="3"/>
      <c r="O265" s="3"/>
      <c r="P265" s="3"/>
      <c r="Q265" s="3"/>
      <c r="R265" s="3"/>
      <c r="S265" s="3"/>
      <c r="T265" s="3"/>
      <c r="U265" s="3"/>
      <c r="V265" s="3"/>
      <c r="W265" s="3"/>
      <c r="X265" s="3"/>
      <c r="Y265" s="3"/>
      <c r="Z265" s="3"/>
    </row>
    <row r="266" spans="1:26">
      <c r="A266" s="8" t="s">
        <v>273</v>
      </c>
      <c r="B266" s="3">
        <v>237</v>
      </c>
      <c r="C266" s="3">
        <v>8881.15</v>
      </c>
      <c r="D266" s="3">
        <v>1</v>
      </c>
      <c r="E266" s="3">
        <v>102</v>
      </c>
      <c r="F266" s="3">
        <v>236</v>
      </c>
      <c r="G266" s="3">
        <v>8779.15</v>
      </c>
      <c r="H266" s="3">
        <v>37.200000000000003</v>
      </c>
      <c r="I266" s="3" t="str">
        <f t="shared" si="1"/>
        <v>03/yyyy</v>
      </c>
      <c r="J266" s="3"/>
      <c r="K266" s="3"/>
      <c r="L266" s="3"/>
      <c r="M266" s="3"/>
      <c r="N266" s="3"/>
      <c r="O266" s="3"/>
      <c r="P266" s="3"/>
      <c r="Q266" s="3"/>
      <c r="R266" s="3"/>
      <c r="S266" s="3"/>
      <c r="T266" s="3"/>
      <c r="U266" s="3"/>
      <c r="V266" s="3"/>
      <c r="W266" s="3"/>
      <c r="X266" s="3"/>
      <c r="Y266" s="3"/>
      <c r="Z266" s="3"/>
    </row>
    <row r="267" spans="1:26">
      <c r="A267" s="8" t="s">
        <v>274</v>
      </c>
      <c r="B267" s="3">
        <v>235</v>
      </c>
      <c r="C267" s="3">
        <v>7902.01</v>
      </c>
      <c r="D267" s="3">
        <v>1</v>
      </c>
      <c r="E267" s="3">
        <v>11</v>
      </c>
      <c r="F267" s="3">
        <v>234</v>
      </c>
      <c r="G267" s="3">
        <v>7891.01</v>
      </c>
      <c r="H267" s="3">
        <v>33.72</v>
      </c>
      <c r="I267" s="3" t="str">
        <f t="shared" si="1"/>
        <v>03/yyyy</v>
      </c>
      <c r="J267" s="3"/>
      <c r="K267" s="3"/>
      <c r="L267" s="3"/>
      <c r="M267" s="3"/>
      <c r="N267" s="3"/>
      <c r="O267" s="3"/>
      <c r="P267" s="3"/>
      <c r="Q267" s="3"/>
      <c r="R267" s="3"/>
      <c r="S267" s="3"/>
      <c r="T267" s="3"/>
      <c r="U267" s="3"/>
      <c r="V267" s="3"/>
      <c r="W267" s="3"/>
      <c r="X267" s="3"/>
      <c r="Y267" s="3"/>
      <c r="Z267" s="3"/>
    </row>
    <row r="268" spans="1:26">
      <c r="A268" s="8" t="s">
        <v>275</v>
      </c>
      <c r="B268" s="3">
        <v>198</v>
      </c>
      <c r="C268" s="3">
        <v>6393.05</v>
      </c>
      <c r="D268" s="3">
        <v>1</v>
      </c>
      <c r="E268" s="3">
        <v>5.5</v>
      </c>
      <c r="F268" s="3">
        <v>197</v>
      </c>
      <c r="G268" s="3">
        <v>6387.55</v>
      </c>
      <c r="H268" s="3">
        <v>32.42</v>
      </c>
      <c r="I268" s="3" t="str">
        <f t="shared" si="1"/>
        <v>03/yyyy</v>
      </c>
      <c r="J268" s="3"/>
      <c r="K268" s="3"/>
      <c r="L268" s="3"/>
      <c r="M268" s="3"/>
      <c r="N268" s="3"/>
      <c r="O268" s="3"/>
      <c r="P268" s="3"/>
      <c r="Q268" s="3"/>
      <c r="R268" s="3"/>
      <c r="S268" s="3"/>
      <c r="T268" s="3"/>
      <c r="U268" s="3"/>
      <c r="V268" s="3"/>
      <c r="W268" s="3"/>
      <c r="X268" s="3"/>
      <c r="Y268" s="3"/>
      <c r="Z268" s="3"/>
    </row>
    <row r="269" spans="1:26">
      <c r="A269" s="8" t="s">
        <v>276</v>
      </c>
      <c r="B269" s="3">
        <v>340</v>
      </c>
      <c r="C269" s="3">
        <v>11234.02</v>
      </c>
      <c r="D269" s="3">
        <v>9</v>
      </c>
      <c r="E269" s="3">
        <v>583.9</v>
      </c>
      <c r="F269" s="3">
        <v>331</v>
      </c>
      <c r="G269" s="3">
        <v>10650.12</v>
      </c>
      <c r="H269" s="3">
        <v>32.18</v>
      </c>
      <c r="I269" s="3" t="str">
        <f t="shared" si="1"/>
        <v>03/yyyy</v>
      </c>
      <c r="J269" s="3"/>
      <c r="K269" s="3"/>
      <c r="L269" s="3"/>
      <c r="M269" s="3"/>
      <c r="N269" s="3"/>
      <c r="O269" s="3"/>
      <c r="P269" s="3"/>
      <c r="Q269" s="3"/>
      <c r="R269" s="3"/>
      <c r="S269" s="3"/>
      <c r="T269" s="3"/>
      <c r="U269" s="3"/>
      <c r="V269" s="3"/>
      <c r="W269" s="3"/>
      <c r="X269" s="3"/>
      <c r="Y269" s="3"/>
      <c r="Z269" s="3"/>
    </row>
    <row r="270" spans="1:26">
      <c r="A270" s="8" t="s">
        <v>277</v>
      </c>
      <c r="B270" s="3">
        <v>238</v>
      </c>
      <c r="C270" s="3">
        <v>8992.98</v>
      </c>
      <c r="D270" s="3">
        <v>4</v>
      </c>
      <c r="E270" s="3">
        <v>296.89999999999998</v>
      </c>
      <c r="F270" s="3">
        <v>234</v>
      </c>
      <c r="G270" s="3">
        <v>8686.08</v>
      </c>
      <c r="H270" s="3">
        <v>37.119999999999997</v>
      </c>
      <c r="I270" s="3" t="str">
        <f t="shared" si="1"/>
        <v>03/yyyy</v>
      </c>
      <c r="J270" s="3"/>
      <c r="K270" s="3"/>
      <c r="L270" s="3"/>
      <c r="M270" s="3"/>
      <c r="N270" s="3"/>
      <c r="O270" s="3"/>
      <c r="P270" s="3"/>
      <c r="Q270" s="3"/>
      <c r="R270" s="3"/>
      <c r="S270" s="3"/>
      <c r="T270" s="3"/>
      <c r="U270" s="3"/>
      <c r="V270" s="3"/>
      <c r="W270" s="3"/>
      <c r="X270" s="3"/>
      <c r="Y270" s="3"/>
      <c r="Z270" s="3"/>
    </row>
    <row r="271" spans="1:26">
      <c r="A271" s="8" t="s">
        <v>278</v>
      </c>
      <c r="B271" s="3">
        <v>270</v>
      </c>
      <c r="C271" s="3">
        <v>9392.44</v>
      </c>
      <c r="D271" s="3">
        <v>3</v>
      </c>
      <c r="E271" s="3">
        <v>168.3</v>
      </c>
      <c r="F271" s="3">
        <v>267</v>
      </c>
      <c r="G271" s="3">
        <v>9224.14</v>
      </c>
      <c r="H271" s="3">
        <v>34.549999999999997</v>
      </c>
      <c r="I271" s="3" t="str">
        <f t="shared" si="1"/>
        <v>03/yyyy</v>
      </c>
      <c r="J271" s="3"/>
      <c r="K271" s="3"/>
      <c r="L271" s="3"/>
      <c r="M271" s="3"/>
      <c r="N271" s="3"/>
      <c r="O271" s="3"/>
      <c r="P271" s="3"/>
      <c r="Q271" s="3"/>
      <c r="R271" s="3"/>
      <c r="S271" s="3"/>
      <c r="T271" s="3"/>
      <c r="U271" s="3"/>
      <c r="V271" s="3"/>
      <c r="W271" s="3"/>
      <c r="X271" s="3"/>
      <c r="Y271" s="3"/>
      <c r="Z271" s="3"/>
    </row>
    <row r="272" spans="1:26">
      <c r="A272" s="8" t="s">
        <v>279</v>
      </c>
      <c r="B272" s="3">
        <v>452</v>
      </c>
      <c r="C272" s="3">
        <v>14290.71</v>
      </c>
      <c r="D272" s="3">
        <v>5</v>
      </c>
      <c r="E272" s="3">
        <v>95.7</v>
      </c>
      <c r="F272" s="3">
        <v>447</v>
      </c>
      <c r="G272" s="3">
        <v>14195.01</v>
      </c>
      <c r="H272" s="3">
        <v>31.76</v>
      </c>
      <c r="I272" s="3" t="str">
        <f t="shared" si="1"/>
        <v>03/yyyy</v>
      </c>
      <c r="J272" s="3"/>
      <c r="K272" s="3"/>
      <c r="L272" s="3"/>
      <c r="M272" s="3"/>
      <c r="N272" s="3"/>
      <c r="O272" s="3"/>
      <c r="P272" s="3"/>
      <c r="Q272" s="3"/>
      <c r="R272" s="3"/>
      <c r="S272" s="3"/>
      <c r="T272" s="3"/>
      <c r="U272" s="3"/>
      <c r="V272" s="3"/>
      <c r="W272" s="3"/>
      <c r="X272" s="3"/>
      <c r="Y272" s="3"/>
      <c r="Z272" s="3"/>
    </row>
    <row r="273" spans="1:26">
      <c r="A273" s="8" t="s">
        <v>280</v>
      </c>
      <c r="B273" s="3">
        <v>222</v>
      </c>
      <c r="C273" s="3">
        <v>7615.27</v>
      </c>
      <c r="D273" s="3">
        <v>1</v>
      </c>
      <c r="E273" s="3">
        <v>9</v>
      </c>
      <c r="F273" s="3">
        <v>221</v>
      </c>
      <c r="G273" s="3">
        <v>7606.27</v>
      </c>
      <c r="H273" s="3">
        <v>34.42</v>
      </c>
      <c r="I273" s="3" t="str">
        <f t="shared" si="1"/>
        <v>03/yyyy</v>
      </c>
      <c r="J273" s="3"/>
      <c r="K273" s="3"/>
      <c r="L273" s="3"/>
      <c r="M273" s="3"/>
      <c r="N273" s="3"/>
      <c r="O273" s="3"/>
      <c r="P273" s="3"/>
      <c r="Q273" s="3"/>
      <c r="R273" s="3"/>
      <c r="S273" s="3"/>
      <c r="T273" s="3"/>
      <c r="U273" s="3"/>
      <c r="V273" s="3"/>
      <c r="W273" s="3"/>
      <c r="X273" s="3"/>
      <c r="Y273" s="3"/>
      <c r="Z273" s="3"/>
    </row>
    <row r="274" spans="1:26">
      <c r="A274" s="8" t="s">
        <v>281</v>
      </c>
      <c r="B274" s="3">
        <v>252</v>
      </c>
      <c r="C274" s="3">
        <v>7620.14</v>
      </c>
      <c r="D274" s="3">
        <v>9</v>
      </c>
      <c r="E274" s="3">
        <v>317.8</v>
      </c>
      <c r="F274" s="3">
        <v>243</v>
      </c>
      <c r="G274" s="3">
        <v>7302.34</v>
      </c>
      <c r="H274" s="3">
        <v>30.05</v>
      </c>
      <c r="I274" s="3" t="str">
        <f t="shared" si="1"/>
        <v>03/yyyy</v>
      </c>
      <c r="J274" s="3"/>
      <c r="K274" s="3"/>
      <c r="L274" s="3"/>
      <c r="M274" s="3"/>
      <c r="N274" s="3"/>
      <c r="O274" s="3"/>
      <c r="P274" s="3"/>
      <c r="Q274" s="3"/>
      <c r="R274" s="3"/>
      <c r="S274" s="3"/>
      <c r="T274" s="3"/>
      <c r="U274" s="3"/>
      <c r="V274" s="3"/>
      <c r="W274" s="3"/>
      <c r="X274" s="3"/>
      <c r="Y274" s="3"/>
      <c r="Z274" s="3"/>
    </row>
    <row r="275" spans="1:26">
      <c r="A275" s="8" t="s">
        <v>282</v>
      </c>
      <c r="B275" s="3">
        <v>231</v>
      </c>
      <c r="C275" s="3">
        <v>8115.44</v>
      </c>
      <c r="D275" s="3">
        <v>1</v>
      </c>
      <c r="E275" s="3">
        <v>15.5</v>
      </c>
      <c r="F275" s="3">
        <v>230</v>
      </c>
      <c r="G275" s="3">
        <v>8099.94</v>
      </c>
      <c r="H275" s="3">
        <v>35.22</v>
      </c>
      <c r="I275" s="3" t="str">
        <f t="shared" si="1"/>
        <v>03/yyyy</v>
      </c>
      <c r="J275" s="3"/>
      <c r="K275" s="3"/>
      <c r="L275" s="3"/>
      <c r="M275" s="3"/>
      <c r="N275" s="3"/>
      <c r="O275" s="3"/>
      <c r="P275" s="3"/>
      <c r="Q275" s="3"/>
      <c r="R275" s="3"/>
      <c r="S275" s="3"/>
      <c r="T275" s="3"/>
      <c r="U275" s="3"/>
      <c r="V275" s="3"/>
      <c r="W275" s="3"/>
      <c r="X275" s="3"/>
      <c r="Y275" s="3"/>
      <c r="Z275" s="3"/>
    </row>
    <row r="276" spans="1:26">
      <c r="A276" s="8" t="s">
        <v>283</v>
      </c>
      <c r="B276" s="3">
        <v>326</v>
      </c>
      <c r="C276" s="3">
        <v>13880.52</v>
      </c>
      <c r="D276" s="3">
        <v>12</v>
      </c>
      <c r="E276" s="3">
        <v>543.5</v>
      </c>
      <c r="F276" s="3">
        <v>314</v>
      </c>
      <c r="G276" s="3">
        <v>13337.02</v>
      </c>
      <c r="H276" s="3">
        <v>42.47</v>
      </c>
      <c r="I276" s="3" t="str">
        <f t="shared" si="1"/>
        <v>04/yyyy</v>
      </c>
      <c r="J276" s="3"/>
      <c r="K276" s="3"/>
      <c r="L276" s="3"/>
      <c r="M276" s="3"/>
      <c r="N276" s="3"/>
      <c r="O276" s="3"/>
      <c r="P276" s="3"/>
      <c r="Q276" s="3"/>
      <c r="R276" s="3"/>
      <c r="S276" s="3"/>
      <c r="T276" s="3"/>
      <c r="U276" s="3"/>
      <c r="V276" s="3"/>
      <c r="W276" s="3"/>
      <c r="X276" s="3"/>
      <c r="Y276" s="3"/>
      <c r="Z276" s="3"/>
    </row>
    <row r="277" spans="1:26">
      <c r="A277" s="8" t="s">
        <v>284</v>
      </c>
      <c r="B277" s="3">
        <v>309</v>
      </c>
      <c r="C277" s="3">
        <v>12913.67</v>
      </c>
      <c r="D277" s="3">
        <v>5</v>
      </c>
      <c r="E277" s="3">
        <v>330.6</v>
      </c>
      <c r="F277" s="3">
        <v>304</v>
      </c>
      <c r="G277" s="3">
        <v>12583.07</v>
      </c>
      <c r="H277" s="3">
        <v>41.39</v>
      </c>
      <c r="I277" s="3" t="str">
        <f t="shared" si="1"/>
        <v>04/yyyy</v>
      </c>
      <c r="J277" s="3"/>
      <c r="K277" s="3"/>
      <c r="L277" s="3"/>
      <c r="M277" s="3"/>
      <c r="N277" s="3"/>
      <c r="O277" s="3"/>
      <c r="P277" s="3"/>
      <c r="Q277" s="3"/>
      <c r="R277" s="3"/>
      <c r="S277" s="3"/>
      <c r="T277" s="3"/>
      <c r="U277" s="3"/>
      <c r="V277" s="3"/>
      <c r="W277" s="3"/>
      <c r="X277" s="3"/>
      <c r="Y277" s="3"/>
      <c r="Z277" s="3"/>
    </row>
    <row r="278" spans="1:26">
      <c r="A278" s="8" t="s">
        <v>285</v>
      </c>
      <c r="B278" s="3">
        <v>295</v>
      </c>
      <c r="C278" s="3">
        <v>11555.59</v>
      </c>
      <c r="D278" s="3">
        <v>14</v>
      </c>
      <c r="E278" s="3">
        <v>1046.7</v>
      </c>
      <c r="F278" s="3">
        <v>281</v>
      </c>
      <c r="G278" s="3">
        <v>10508.89</v>
      </c>
      <c r="H278" s="3">
        <v>37.4</v>
      </c>
      <c r="I278" s="3" t="str">
        <f t="shared" si="1"/>
        <v>04/yyyy</v>
      </c>
      <c r="J278" s="3"/>
      <c r="K278" s="3"/>
      <c r="L278" s="3"/>
      <c r="M278" s="3"/>
      <c r="N278" s="3"/>
      <c r="O278" s="3"/>
      <c r="P278" s="3"/>
      <c r="Q278" s="3"/>
      <c r="R278" s="3"/>
      <c r="S278" s="3"/>
      <c r="T278" s="3"/>
      <c r="U278" s="3"/>
      <c r="V278" s="3"/>
      <c r="W278" s="3"/>
      <c r="X278" s="3"/>
      <c r="Y278" s="3"/>
      <c r="Z278" s="3"/>
    </row>
    <row r="279" spans="1:26">
      <c r="A279" s="8" t="s">
        <v>286</v>
      </c>
      <c r="B279" s="3">
        <v>315</v>
      </c>
      <c r="C279" s="3">
        <v>12024.57</v>
      </c>
      <c r="D279" s="3">
        <v>2</v>
      </c>
      <c r="E279" s="3">
        <v>10</v>
      </c>
      <c r="F279" s="3">
        <v>313</v>
      </c>
      <c r="G279" s="3">
        <v>12014.57</v>
      </c>
      <c r="H279" s="3">
        <v>38.39</v>
      </c>
      <c r="I279" s="3" t="str">
        <f t="shared" si="1"/>
        <v>04/yyyy</v>
      </c>
      <c r="J279" s="3"/>
      <c r="K279" s="3"/>
      <c r="L279" s="3"/>
      <c r="M279" s="3"/>
      <c r="N279" s="3"/>
      <c r="O279" s="3"/>
      <c r="P279" s="3"/>
      <c r="Q279" s="3"/>
      <c r="R279" s="3"/>
      <c r="S279" s="3"/>
      <c r="T279" s="3"/>
      <c r="U279" s="3"/>
      <c r="V279" s="3"/>
      <c r="W279" s="3"/>
      <c r="X279" s="3"/>
      <c r="Y279" s="3"/>
      <c r="Z279" s="3"/>
    </row>
    <row r="280" spans="1:26">
      <c r="A280" s="8" t="s">
        <v>287</v>
      </c>
      <c r="B280" s="3">
        <v>194</v>
      </c>
      <c r="C280" s="3">
        <v>9140.4599999999991</v>
      </c>
      <c r="D280" s="3">
        <v>3</v>
      </c>
      <c r="E280" s="3">
        <v>225.4</v>
      </c>
      <c r="F280" s="3">
        <v>191</v>
      </c>
      <c r="G280" s="3">
        <v>8915.06</v>
      </c>
      <c r="H280" s="3">
        <v>46.68</v>
      </c>
      <c r="I280" s="3" t="str">
        <f t="shared" si="1"/>
        <v>04/yyyy</v>
      </c>
      <c r="J280" s="3"/>
      <c r="K280" s="3"/>
      <c r="L280" s="3"/>
      <c r="M280" s="3"/>
      <c r="N280" s="3"/>
      <c r="O280" s="3"/>
      <c r="P280" s="3"/>
      <c r="Q280" s="3"/>
      <c r="R280" s="3"/>
      <c r="S280" s="3"/>
      <c r="T280" s="3"/>
      <c r="U280" s="3"/>
      <c r="V280" s="3"/>
      <c r="W280" s="3"/>
      <c r="X280" s="3"/>
      <c r="Y280" s="3"/>
      <c r="Z280" s="3"/>
    </row>
    <row r="281" spans="1:26">
      <c r="A281" s="8" t="s">
        <v>288</v>
      </c>
      <c r="B281" s="3">
        <v>256</v>
      </c>
      <c r="C281" s="3">
        <v>8371.17</v>
      </c>
      <c r="D281" s="3">
        <v>0</v>
      </c>
      <c r="E281" s="3">
        <v>0</v>
      </c>
      <c r="F281" s="3">
        <v>256</v>
      </c>
      <c r="G281" s="3">
        <v>8371.17</v>
      </c>
      <c r="H281" s="3">
        <v>32.700000000000003</v>
      </c>
      <c r="I281" s="3" t="str">
        <f t="shared" si="1"/>
        <v>04/yyyy</v>
      </c>
      <c r="J281" s="3"/>
      <c r="K281" s="3"/>
      <c r="L281" s="3"/>
      <c r="M281" s="3"/>
      <c r="N281" s="3"/>
      <c r="O281" s="3"/>
      <c r="P281" s="3"/>
      <c r="Q281" s="3"/>
      <c r="R281" s="3"/>
      <c r="S281" s="3"/>
      <c r="T281" s="3"/>
      <c r="U281" s="3"/>
      <c r="V281" s="3"/>
      <c r="W281" s="3"/>
      <c r="X281" s="3"/>
      <c r="Y281" s="3"/>
      <c r="Z281" s="3"/>
    </row>
    <row r="282" spans="1:26">
      <c r="A282" s="8" t="s">
        <v>289</v>
      </c>
      <c r="B282" s="3">
        <v>211</v>
      </c>
      <c r="C282" s="3">
        <v>7378.56</v>
      </c>
      <c r="D282" s="3">
        <v>0</v>
      </c>
      <c r="E282" s="3">
        <v>0</v>
      </c>
      <c r="F282" s="3">
        <v>211</v>
      </c>
      <c r="G282" s="3">
        <v>7378.56</v>
      </c>
      <c r="H282" s="3">
        <v>33.39</v>
      </c>
      <c r="I282" s="3" t="str">
        <f t="shared" si="1"/>
        <v>04/yyyy</v>
      </c>
      <c r="J282" s="3"/>
      <c r="K282" s="3"/>
      <c r="L282" s="3"/>
      <c r="M282" s="3"/>
      <c r="N282" s="3"/>
      <c r="O282" s="3"/>
      <c r="P282" s="3"/>
      <c r="Q282" s="3"/>
      <c r="R282" s="3"/>
      <c r="S282" s="3"/>
      <c r="T282" s="3"/>
      <c r="U282" s="3"/>
      <c r="V282" s="3"/>
      <c r="W282" s="3"/>
      <c r="X282" s="3"/>
      <c r="Y282" s="3"/>
      <c r="Z282" s="3"/>
    </row>
    <row r="283" spans="1:26">
      <c r="A283" s="8" t="s">
        <v>290</v>
      </c>
      <c r="B283" s="3">
        <v>230</v>
      </c>
      <c r="C283" s="3">
        <v>7255.54</v>
      </c>
      <c r="D283" s="3">
        <v>1</v>
      </c>
      <c r="E283" s="3">
        <v>52.5</v>
      </c>
      <c r="F283" s="3">
        <v>229</v>
      </c>
      <c r="G283" s="3">
        <v>7203.04</v>
      </c>
      <c r="H283" s="3">
        <v>31.45</v>
      </c>
      <c r="I283" s="3" t="str">
        <f t="shared" si="1"/>
        <v>04/yyyy</v>
      </c>
      <c r="J283" s="3"/>
      <c r="K283" s="3"/>
      <c r="L283" s="3"/>
      <c r="M283" s="3"/>
      <c r="N283" s="3"/>
      <c r="O283" s="3"/>
      <c r="P283" s="3"/>
      <c r="Q283" s="3"/>
      <c r="R283" s="3"/>
      <c r="S283" s="3"/>
      <c r="T283" s="3"/>
      <c r="U283" s="3"/>
      <c r="V283" s="3"/>
      <c r="W283" s="3"/>
      <c r="X283" s="3"/>
      <c r="Y283" s="3"/>
      <c r="Z283" s="3"/>
    </row>
    <row r="284" spans="1:26">
      <c r="A284" s="8" t="s">
        <v>291</v>
      </c>
      <c r="B284" s="3">
        <v>216</v>
      </c>
      <c r="C284" s="3">
        <v>6574.79</v>
      </c>
      <c r="D284" s="3">
        <v>6</v>
      </c>
      <c r="E284" s="3">
        <v>103.5</v>
      </c>
      <c r="F284" s="3">
        <v>210</v>
      </c>
      <c r="G284" s="3">
        <v>6471.29</v>
      </c>
      <c r="H284" s="3">
        <v>30.82</v>
      </c>
      <c r="I284" s="3" t="str">
        <f t="shared" si="1"/>
        <v>04/yyyy</v>
      </c>
      <c r="J284" s="3"/>
      <c r="K284" s="3"/>
      <c r="L284" s="3"/>
      <c r="M284" s="3"/>
      <c r="N284" s="3"/>
      <c r="O284" s="3"/>
      <c r="P284" s="3"/>
      <c r="Q284" s="3"/>
      <c r="R284" s="3"/>
      <c r="S284" s="3"/>
      <c r="T284" s="3"/>
      <c r="U284" s="3"/>
      <c r="V284" s="3"/>
      <c r="W284" s="3"/>
      <c r="X284" s="3"/>
      <c r="Y284" s="3"/>
      <c r="Z284" s="3"/>
    </row>
    <row r="285" spans="1:26">
      <c r="A285" s="8" t="s">
        <v>292</v>
      </c>
      <c r="B285" s="3">
        <v>279</v>
      </c>
      <c r="C285" s="3">
        <v>10353.91</v>
      </c>
      <c r="D285" s="3">
        <v>3</v>
      </c>
      <c r="E285" s="3">
        <v>72.5</v>
      </c>
      <c r="F285" s="3">
        <v>276</v>
      </c>
      <c r="G285" s="3">
        <v>10281.41</v>
      </c>
      <c r="H285" s="3">
        <v>37.25</v>
      </c>
      <c r="I285" s="3" t="str">
        <f t="shared" si="1"/>
        <v>04/yyyy</v>
      </c>
      <c r="J285" s="3"/>
      <c r="K285" s="3"/>
      <c r="L285" s="3"/>
      <c r="M285" s="3"/>
      <c r="N285" s="3"/>
      <c r="O285" s="3"/>
      <c r="P285" s="3"/>
      <c r="Q285" s="3"/>
      <c r="R285" s="3"/>
      <c r="S285" s="3"/>
      <c r="T285" s="3"/>
      <c r="U285" s="3"/>
      <c r="V285" s="3"/>
      <c r="W285" s="3"/>
      <c r="X285" s="3"/>
      <c r="Y285" s="3"/>
      <c r="Z285" s="3"/>
    </row>
    <row r="286" spans="1:26">
      <c r="A286" s="8" t="s">
        <v>293</v>
      </c>
      <c r="B286" s="3">
        <v>356</v>
      </c>
      <c r="C286" s="3">
        <v>13322.62</v>
      </c>
      <c r="D286" s="3">
        <v>3</v>
      </c>
      <c r="E286" s="3">
        <v>32.5</v>
      </c>
      <c r="F286" s="3">
        <v>353</v>
      </c>
      <c r="G286" s="3">
        <v>13290.12</v>
      </c>
      <c r="H286" s="3">
        <v>37.65</v>
      </c>
      <c r="I286" s="3" t="str">
        <f t="shared" si="1"/>
        <v>04/yyyy</v>
      </c>
      <c r="J286" s="3"/>
      <c r="K286" s="3"/>
      <c r="L286" s="3"/>
      <c r="M286" s="3"/>
      <c r="N286" s="3"/>
      <c r="O286" s="3"/>
      <c r="P286" s="3"/>
      <c r="Q286" s="3"/>
      <c r="R286" s="3"/>
      <c r="S286" s="3"/>
      <c r="T286" s="3"/>
      <c r="U286" s="3"/>
      <c r="V286" s="3"/>
      <c r="W286" s="3"/>
      <c r="X286" s="3"/>
      <c r="Y286" s="3"/>
      <c r="Z286" s="3"/>
    </row>
    <row r="287" spans="1:26">
      <c r="A287" s="8" t="s">
        <v>294</v>
      </c>
      <c r="B287" s="3">
        <v>234</v>
      </c>
      <c r="C287" s="3">
        <v>9048.64</v>
      </c>
      <c r="D287" s="3">
        <v>1</v>
      </c>
      <c r="E287" s="3">
        <v>10</v>
      </c>
      <c r="F287" s="3">
        <v>233</v>
      </c>
      <c r="G287" s="3">
        <v>9038.64</v>
      </c>
      <c r="H287" s="3">
        <v>38.79</v>
      </c>
      <c r="I287" s="3" t="str">
        <f t="shared" si="1"/>
        <v>04/yyyy</v>
      </c>
      <c r="J287" s="3"/>
      <c r="K287" s="3"/>
      <c r="L287" s="3"/>
      <c r="M287" s="3"/>
      <c r="N287" s="3"/>
      <c r="O287" s="3"/>
      <c r="P287" s="3"/>
      <c r="Q287" s="3"/>
      <c r="R287" s="3"/>
      <c r="S287" s="3"/>
      <c r="T287" s="3"/>
      <c r="U287" s="3"/>
      <c r="V287" s="3"/>
      <c r="W287" s="3"/>
      <c r="X287" s="3"/>
      <c r="Y287" s="3"/>
      <c r="Z287" s="3"/>
    </row>
    <row r="288" spans="1:26">
      <c r="A288" s="8" t="s">
        <v>295</v>
      </c>
      <c r="B288" s="3">
        <v>344</v>
      </c>
      <c r="C288" s="3">
        <v>11875.61</v>
      </c>
      <c r="D288" s="3">
        <v>0</v>
      </c>
      <c r="E288" s="3">
        <v>0</v>
      </c>
      <c r="F288" s="3">
        <v>344</v>
      </c>
      <c r="G288" s="3">
        <v>11875.61</v>
      </c>
      <c r="H288" s="3">
        <v>34.520000000000003</v>
      </c>
      <c r="I288" s="3" t="str">
        <f t="shared" si="1"/>
        <v>04/yyyy</v>
      </c>
      <c r="J288" s="3"/>
      <c r="K288" s="3"/>
      <c r="L288" s="3"/>
      <c r="M288" s="3"/>
      <c r="N288" s="3"/>
      <c r="O288" s="3"/>
      <c r="P288" s="3"/>
      <c r="Q288" s="3"/>
      <c r="R288" s="3"/>
      <c r="S288" s="3"/>
      <c r="T288" s="3"/>
      <c r="U288" s="3"/>
      <c r="V288" s="3"/>
      <c r="W288" s="3"/>
      <c r="X288" s="3"/>
      <c r="Y288" s="3"/>
      <c r="Z288" s="3"/>
    </row>
    <row r="289" spans="1:26">
      <c r="A289" s="8" t="s">
        <v>296</v>
      </c>
      <c r="B289" s="3">
        <v>189</v>
      </c>
      <c r="C289" s="3">
        <v>6267.67</v>
      </c>
      <c r="D289" s="3">
        <v>9</v>
      </c>
      <c r="E289" s="3">
        <v>182.51</v>
      </c>
      <c r="F289" s="3">
        <v>180</v>
      </c>
      <c r="G289" s="3">
        <v>6085.16</v>
      </c>
      <c r="H289" s="3">
        <v>33.81</v>
      </c>
      <c r="I289" s="3" t="str">
        <f t="shared" si="1"/>
        <v>04/yyyy</v>
      </c>
      <c r="J289" s="3"/>
      <c r="K289" s="3"/>
      <c r="L289" s="3"/>
      <c r="M289" s="3"/>
      <c r="N289" s="3"/>
      <c r="O289" s="3"/>
      <c r="P289" s="3"/>
      <c r="Q289" s="3"/>
      <c r="R289" s="3"/>
      <c r="S289" s="3"/>
      <c r="T289" s="3"/>
      <c r="U289" s="3"/>
      <c r="V289" s="3"/>
      <c r="W289" s="3"/>
      <c r="X289" s="3"/>
      <c r="Y289" s="3"/>
      <c r="Z289" s="3"/>
    </row>
    <row r="290" spans="1:26">
      <c r="A290" s="8" t="s">
        <v>297</v>
      </c>
      <c r="B290" s="3">
        <v>218</v>
      </c>
      <c r="C290" s="3">
        <v>7017.32</v>
      </c>
      <c r="D290" s="3">
        <v>2</v>
      </c>
      <c r="E290" s="3">
        <v>44.7</v>
      </c>
      <c r="F290" s="3">
        <v>216</v>
      </c>
      <c r="G290" s="3">
        <v>6972.62</v>
      </c>
      <c r="H290" s="3">
        <v>32.28</v>
      </c>
      <c r="I290" s="3" t="str">
        <f t="shared" si="1"/>
        <v>04/yyyy</v>
      </c>
      <c r="J290" s="3"/>
      <c r="K290" s="3"/>
      <c r="L290" s="3"/>
      <c r="M290" s="3"/>
      <c r="N290" s="3"/>
      <c r="O290" s="3"/>
      <c r="P290" s="3"/>
      <c r="Q290" s="3"/>
      <c r="R290" s="3"/>
      <c r="S290" s="3"/>
      <c r="T290" s="3"/>
      <c r="U290" s="3"/>
      <c r="V290" s="3"/>
      <c r="W290" s="3"/>
      <c r="X290" s="3"/>
      <c r="Y290" s="3"/>
      <c r="Z290" s="3"/>
    </row>
    <row r="291" spans="1:26">
      <c r="A291" s="8" t="s">
        <v>298</v>
      </c>
      <c r="B291" s="3">
        <v>202</v>
      </c>
      <c r="C291" s="3">
        <v>6683.5</v>
      </c>
      <c r="D291" s="3">
        <v>1</v>
      </c>
      <c r="E291" s="3">
        <v>6.7</v>
      </c>
      <c r="F291" s="3">
        <v>201</v>
      </c>
      <c r="G291" s="3">
        <v>6676.8</v>
      </c>
      <c r="H291" s="3">
        <v>33.22</v>
      </c>
      <c r="I291" s="3" t="str">
        <f t="shared" si="1"/>
        <v>04/yyyy</v>
      </c>
      <c r="J291" s="3"/>
      <c r="K291" s="3"/>
      <c r="L291" s="3"/>
      <c r="M291" s="3"/>
      <c r="N291" s="3"/>
      <c r="O291" s="3"/>
      <c r="P291" s="3"/>
      <c r="Q291" s="3"/>
      <c r="R291" s="3"/>
      <c r="S291" s="3"/>
      <c r="T291" s="3"/>
      <c r="U291" s="3"/>
      <c r="V291" s="3"/>
      <c r="W291" s="3"/>
      <c r="X291" s="3"/>
      <c r="Y291" s="3"/>
      <c r="Z291" s="3"/>
    </row>
    <row r="292" spans="1:26">
      <c r="A292" s="8" t="s">
        <v>299</v>
      </c>
      <c r="B292" s="3">
        <v>253</v>
      </c>
      <c r="C292" s="3">
        <v>9357.08</v>
      </c>
      <c r="D292" s="3">
        <v>1</v>
      </c>
      <c r="E292" s="3">
        <v>25.6</v>
      </c>
      <c r="F292" s="3">
        <v>251</v>
      </c>
      <c r="G292" s="3">
        <v>9331.48</v>
      </c>
      <c r="H292" s="3">
        <v>37.18</v>
      </c>
      <c r="I292" s="3" t="str">
        <f t="shared" si="1"/>
        <v>04/yyyy</v>
      </c>
      <c r="J292" s="3"/>
      <c r="K292" s="3"/>
      <c r="L292" s="3"/>
      <c r="M292" s="3"/>
      <c r="N292" s="3"/>
      <c r="O292" s="3"/>
      <c r="P292" s="3"/>
      <c r="Q292" s="3"/>
      <c r="R292" s="3"/>
      <c r="S292" s="3"/>
      <c r="T292" s="3"/>
      <c r="U292" s="3"/>
      <c r="V292" s="3"/>
      <c r="W292" s="3"/>
      <c r="X292" s="3"/>
      <c r="Y292" s="3"/>
      <c r="Z292" s="3"/>
    </row>
    <row r="293" spans="1:26">
      <c r="A293" s="8" t="s">
        <v>300</v>
      </c>
      <c r="B293" s="3">
        <v>422</v>
      </c>
      <c r="C293" s="3">
        <v>13723.02</v>
      </c>
      <c r="D293" s="3">
        <v>2</v>
      </c>
      <c r="E293" s="3">
        <v>54</v>
      </c>
      <c r="F293" s="3">
        <v>420</v>
      </c>
      <c r="G293" s="3">
        <v>13669.02</v>
      </c>
      <c r="H293" s="3">
        <v>32.549999999999997</v>
      </c>
      <c r="I293" s="3" t="str">
        <f t="shared" si="1"/>
        <v>04/yyyy</v>
      </c>
      <c r="J293" s="3"/>
      <c r="K293" s="3"/>
      <c r="L293" s="3"/>
      <c r="M293" s="3"/>
      <c r="N293" s="3"/>
      <c r="O293" s="3"/>
      <c r="P293" s="3"/>
      <c r="Q293" s="3"/>
      <c r="R293" s="3"/>
      <c r="S293" s="3"/>
      <c r="T293" s="3"/>
      <c r="U293" s="3"/>
      <c r="V293" s="3"/>
      <c r="W293" s="3"/>
      <c r="X293" s="3"/>
      <c r="Y293" s="3"/>
      <c r="Z293" s="3"/>
    </row>
    <row r="294" spans="1:26">
      <c r="A294" s="8" t="s">
        <v>301</v>
      </c>
      <c r="B294" s="3">
        <v>224</v>
      </c>
      <c r="C294" s="3">
        <v>8368.43</v>
      </c>
      <c r="D294" s="3">
        <v>1</v>
      </c>
      <c r="E294" s="3">
        <v>156.49</v>
      </c>
      <c r="F294" s="3">
        <v>223</v>
      </c>
      <c r="G294" s="3">
        <v>8211.84</v>
      </c>
      <c r="H294" s="3">
        <v>36.82</v>
      </c>
      <c r="I294" s="3" t="str">
        <f t="shared" si="1"/>
        <v>04/yyyy</v>
      </c>
      <c r="J294" s="3"/>
      <c r="K294" s="3"/>
      <c r="L294" s="3"/>
      <c r="M294" s="3"/>
      <c r="N294" s="3"/>
      <c r="O294" s="3"/>
      <c r="P294" s="3"/>
      <c r="Q294" s="3"/>
      <c r="R294" s="3"/>
      <c r="S294" s="3"/>
      <c r="T294" s="3"/>
      <c r="U294" s="3"/>
      <c r="V294" s="3"/>
      <c r="W294" s="3"/>
      <c r="X294" s="3"/>
      <c r="Y294" s="3"/>
      <c r="Z294" s="3"/>
    </row>
    <row r="295" spans="1:26">
      <c r="A295" s="8" t="s">
        <v>302</v>
      </c>
      <c r="B295" s="3">
        <v>291</v>
      </c>
      <c r="C295" s="3">
        <v>9973.8799999999992</v>
      </c>
      <c r="D295" s="3">
        <v>0</v>
      </c>
      <c r="E295" s="3">
        <v>0</v>
      </c>
      <c r="F295" s="3">
        <v>291</v>
      </c>
      <c r="G295" s="3">
        <v>9973.8799999999992</v>
      </c>
      <c r="H295" s="3">
        <v>34.270000000000003</v>
      </c>
      <c r="I295" s="3" t="str">
        <f t="shared" si="1"/>
        <v>04/yyyy</v>
      </c>
      <c r="J295" s="3"/>
      <c r="K295" s="3"/>
      <c r="L295" s="3"/>
      <c r="M295" s="3"/>
      <c r="N295" s="3"/>
      <c r="O295" s="3"/>
      <c r="P295" s="3"/>
      <c r="Q295" s="3"/>
      <c r="R295" s="3"/>
      <c r="S295" s="3"/>
      <c r="T295" s="3"/>
      <c r="U295" s="3"/>
      <c r="V295" s="3"/>
      <c r="W295" s="3"/>
      <c r="X295" s="3"/>
      <c r="Y295" s="3"/>
      <c r="Z295" s="3"/>
    </row>
    <row r="296" spans="1:26">
      <c r="A296" s="8" t="s">
        <v>303</v>
      </c>
      <c r="B296" s="3">
        <v>245</v>
      </c>
      <c r="C296" s="3">
        <v>8910.93</v>
      </c>
      <c r="D296" s="3">
        <v>0</v>
      </c>
      <c r="E296" s="3">
        <v>0</v>
      </c>
      <c r="F296" s="3">
        <v>245</v>
      </c>
      <c r="G296" s="3">
        <v>8910.93</v>
      </c>
      <c r="H296" s="3">
        <v>36.369999999999997</v>
      </c>
      <c r="I296" s="3" t="str">
        <f t="shared" si="1"/>
        <v>04/yyyy</v>
      </c>
      <c r="J296" s="3"/>
      <c r="K296" s="3"/>
      <c r="L296" s="3"/>
      <c r="M296" s="3"/>
      <c r="N296" s="3"/>
      <c r="O296" s="3"/>
      <c r="P296" s="3"/>
      <c r="Q296" s="3"/>
      <c r="R296" s="3"/>
      <c r="S296" s="3"/>
      <c r="T296" s="3"/>
      <c r="U296" s="3"/>
      <c r="V296" s="3"/>
      <c r="W296" s="3"/>
      <c r="X296" s="3"/>
      <c r="Y296" s="3"/>
      <c r="Z296" s="3"/>
    </row>
    <row r="297" spans="1:26">
      <c r="A297" s="8" t="s">
        <v>304</v>
      </c>
      <c r="B297" s="3">
        <v>249</v>
      </c>
      <c r="C297" s="3">
        <v>8290.0499999999993</v>
      </c>
      <c r="D297" s="3">
        <v>1</v>
      </c>
      <c r="E297" s="3">
        <v>116.99</v>
      </c>
      <c r="F297" s="3">
        <v>248</v>
      </c>
      <c r="G297" s="3">
        <v>8173.06</v>
      </c>
      <c r="H297" s="3">
        <v>32.96</v>
      </c>
      <c r="I297" s="3" t="str">
        <f t="shared" si="1"/>
        <v>04/yyyy</v>
      </c>
      <c r="J297" s="3"/>
      <c r="K297" s="3"/>
      <c r="L297" s="3"/>
      <c r="M297" s="3"/>
      <c r="N297" s="3"/>
      <c r="O297" s="3"/>
      <c r="P297" s="3"/>
      <c r="Q297" s="3"/>
      <c r="R297" s="3"/>
      <c r="S297" s="3"/>
      <c r="T297" s="3"/>
      <c r="U297" s="3"/>
      <c r="V297" s="3"/>
      <c r="W297" s="3"/>
      <c r="X297" s="3"/>
      <c r="Y297" s="3"/>
      <c r="Z297" s="3"/>
    </row>
    <row r="298" spans="1:26">
      <c r="A298" s="8" t="s">
        <v>305</v>
      </c>
      <c r="B298" s="3">
        <v>218</v>
      </c>
      <c r="C298" s="3">
        <v>6862.65</v>
      </c>
      <c r="D298" s="3">
        <v>2</v>
      </c>
      <c r="E298" s="3">
        <v>30</v>
      </c>
      <c r="F298" s="3">
        <v>216</v>
      </c>
      <c r="G298" s="3">
        <v>6832.65</v>
      </c>
      <c r="H298" s="3">
        <v>31.63</v>
      </c>
      <c r="I298" s="3" t="str">
        <f t="shared" si="1"/>
        <v>04/yyyy</v>
      </c>
      <c r="J298" s="3"/>
      <c r="K298" s="3"/>
      <c r="L298" s="3"/>
      <c r="M298" s="3"/>
      <c r="N298" s="3"/>
      <c r="O298" s="3"/>
      <c r="P298" s="3"/>
      <c r="Q298" s="3"/>
      <c r="R298" s="3"/>
      <c r="S298" s="3"/>
      <c r="T298" s="3"/>
      <c r="U298" s="3"/>
      <c r="V298" s="3"/>
      <c r="W298" s="3"/>
      <c r="X298" s="3"/>
      <c r="Y298" s="3"/>
      <c r="Z298" s="3"/>
    </row>
    <row r="299" spans="1:26">
      <c r="A299" s="8" t="s">
        <v>306</v>
      </c>
      <c r="B299" s="3">
        <v>241</v>
      </c>
      <c r="C299" s="3">
        <v>8951.81</v>
      </c>
      <c r="D299" s="3">
        <v>3</v>
      </c>
      <c r="E299" s="3">
        <v>290</v>
      </c>
      <c r="F299" s="3">
        <v>238</v>
      </c>
      <c r="G299" s="3">
        <v>8661.81</v>
      </c>
      <c r="H299" s="3">
        <v>36.39</v>
      </c>
      <c r="I299" s="3" t="str">
        <f t="shared" si="1"/>
        <v>04/yyyy</v>
      </c>
      <c r="J299" s="3"/>
      <c r="K299" s="3"/>
      <c r="L299" s="3"/>
      <c r="M299" s="3"/>
      <c r="N299" s="3"/>
      <c r="O299" s="3"/>
      <c r="P299" s="3"/>
      <c r="Q299" s="3"/>
      <c r="R299" s="3"/>
      <c r="S299" s="3"/>
      <c r="T299" s="3"/>
      <c r="U299" s="3"/>
      <c r="V299" s="3"/>
      <c r="W299" s="3"/>
      <c r="X299" s="3"/>
      <c r="Y299" s="3"/>
      <c r="Z299" s="3"/>
    </row>
    <row r="300" spans="1:26">
      <c r="A300" s="8" t="s">
        <v>307</v>
      </c>
      <c r="B300" s="3">
        <v>393</v>
      </c>
      <c r="C300" s="3">
        <v>14632.07</v>
      </c>
      <c r="D300" s="3">
        <v>2</v>
      </c>
      <c r="E300" s="3">
        <v>16.2</v>
      </c>
      <c r="F300" s="3">
        <v>391</v>
      </c>
      <c r="G300" s="3">
        <v>14615.87</v>
      </c>
      <c r="H300" s="3">
        <v>37.380000000000003</v>
      </c>
      <c r="I300" s="3" t="str">
        <f t="shared" si="1"/>
        <v>04/yyyy</v>
      </c>
      <c r="J300" s="3"/>
      <c r="K300" s="3"/>
      <c r="L300" s="3"/>
      <c r="M300" s="3"/>
      <c r="N300" s="3"/>
      <c r="O300" s="3"/>
      <c r="P300" s="3"/>
      <c r="Q300" s="3"/>
      <c r="R300" s="3"/>
      <c r="S300" s="3"/>
      <c r="T300" s="3"/>
      <c r="U300" s="3"/>
      <c r="V300" s="3"/>
      <c r="W300" s="3"/>
      <c r="X300" s="3"/>
      <c r="Y300" s="3"/>
      <c r="Z300" s="3"/>
    </row>
    <row r="301" spans="1:26">
      <c r="A301" s="8" t="s">
        <v>308</v>
      </c>
      <c r="B301" s="3">
        <v>257</v>
      </c>
      <c r="C301" s="3">
        <v>9990.9</v>
      </c>
      <c r="D301" s="3">
        <v>0</v>
      </c>
      <c r="E301" s="3">
        <v>0</v>
      </c>
      <c r="F301" s="3">
        <v>257</v>
      </c>
      <c r="G301" s="3">
        <v>9990.9</v>
      </c>
      <c r="H301" s="3">
        <v>38.880000000000003</v>
      </c>
      <c r="I301" s="3" t="str">
        <f t="shared" si="1"/>
        <v>04/yyyy</v>
      </c>
      <c r="J301" s="3"/>
      <c r="K301" s="3"/>
      <c r="L301" s="3"/>
      <c r="M301" s="3"/>
      <c r="N301" s="3"/>
      <c r="O301" s="3"/>
      <c r="P301" s="3"/>
      <c r="Q301" s="3"/>
      <c r="R301" s="3"/>
      <c r="S301" s="3"/>
      <c r="T301" s="3"/>
      <c r="U301" s="3"/>
      <c r="V301" s="3"/>
      <c r="W301" s="3"/>
      <c r="X301" s="3"/>
      <c r="Y301" s="3"/>
      <c r="Z301" s="3"/>
    </row>
    <row r="302" spans="1:26">
      <c r="A302" s="8" t="s">
        <v>309</v>
      </c>
      <c r="B302" s="3">
        <v>232</v>
      </c>
      <c r="C302" s="3">
        <v>7871.67</v>
      </c>
      <c r="D302" s="3">
        <v>4</v>
      </c>
      <c r="E302" s="3">
        <v>66</v>
      </c>
      <c r="F302" s="3">
        <v>228</v>
      </c>
      <c r="G302" s="3">
        <v>7805.67</v>
      </c>
      <c r="H302" s="3">
        <v>34.24</v>
      </c>
      <c r="I302" s="3" t="str">
        <f t="shared" si="1"/>
        <v>04/yyyy</v>
      </c>
      <c r="J302" s="3"/>
      <c r="K302" s="3"/>
      <c r="L302" s="3"/>
      <c r="M302" s="3"/>
      <c r="N302" s="3"/>
      <c r="O302" s="3"/>
      <c r="P302" s="3"/>
      <c r="Q302" s="3"/>
      <c r="R302" s="3"/>
      <c r="S302" s="3"/>
      <c r="T302" s="3"/>
      <c r="U302" s="3"/>
      <c r="V302" s="3"/>
      <c r="W302" s="3"/>
      <c r="X302" s="3"/>
      <c r="Y302" s="3"/>
      <c r="Z302" s="3"/>
    </row>
    <row r="303" spans="1:26">
      <c r="A303" s="8" t="s">
        <v>310</v>
      </c>
      <c r="B303" s="3">
        <v>225</v>
      </c>
      <c r="C303" s="3">
        <v>8654.26</v>
      </c>
      <c r="D303" s="3">
        <v>4</v>
      </c>
      <c r="E303" s="3">
        <v>384.23</v>
      </c>
      <c r="F303" s="3">
        <v>221</v>
      </c>
      <c r="G303" s="3">
        <v>8270.0300000000007</v>
      </c>
      <c r="H303" s="3">
        <v>37.42</v>
      </c>
      <c r="I303" s="3" t="str">
        <f t="shared" si="1"/>
        <v>04/yyyy</v>
      </c>
      <c r="J303" s="3"/>
      <c r="K303" s="3"/>
      <c r="L303" s="3"/>
      <c r="M303" s="3"/>
      <c r="N303" s="3"/>
      <c r="O303" s="3"/>
      <c r="P303" s="3"/>
      <c r="Q303" s="3"/>
      <c r="R303" s="3"/>
      <c r="S303" s="3"/>
      <c r="T303" s="3"/>
      <c r="U303" s="3"/>
      <c r="V303" s="3"/>
      <c r="W303" s="3"/>
      <c r="X303" s="3"/>
      <c r="Y303" s="3"/>
      <c r="Z303" s="3"/>
    </row>
    <row r="304" spans="1:26">
      <c r="A304" s="8" t="s">
        <v>311</v>
      </c>
      <c r="B304" s="3">
        <v>224</v>
      </c>
      <c r="C304" s="3">
        <v>7515.98</v>
      </c>
      <c r="D304" s="3">
        <v>0</v>
      </c>
      <c r="E304" s="3">
        <v>0</v>
      </c>
      <c r="F304" s="3">
        <v>224</v>
      </c>
      <c r="G304" s="3">
        <v>7515.98</v>
      </c>
      <c r="H304" s="3">
        <v>33.549999999999997</v>
      </c>
      <c r="I304" s="3" t="str">
        <f t="shared" si="1"/>
        <v>04/yyyy</v>
      </c>
      <c r="J304" s="3"/>
      <c r="K304" s="3"/>
      <c r="L304" s="3"/>
      <c r="M304" s="3"/>
      <c r="N304" s="3"/>
      <c r="O304" s="3"/>
      <c r="P304" s="3"/>
      <c r="Q304" s="3"/>
      <c r="R304" s="3"/>
      <c r="S304" s="3"/>
      <c r="T304" s="3"/>
      <c r="U304" s="3"/>
      <c r="V304" s="3"/>
      <c r="W304" s="3"/>
      <c r="X304" s="3"/>
      <c r="Y304" s="3"/>
      <c r="Z304" s="3"/>
    </row>
    <row r="305" spans="1:26">
      <c r="A305" s="8" t="s">
        <v>312</v>
      </c>
      <c r="B305" s="3">
        <v>281</v>
      </c>
      <c r="C305" s="3">
        <v>9481.74</v>
      </c>
      <c r="D305" s="3">
        <v>3</v>
      </c>
      <c r="E305" s="3">
        <v>32</v>
      </c>
      <c r="F305" s="3">
        <v>278</v>
      </c>
      <c r="G305" s="3">
        <v>9449.74</v>
      </c>
      <c r="H305" s="3">
        <v>33.99</v>
      </c>
      <c r="I305" s="3" t="str">
        <f t="shared" si="1"/>
        <v>04/yyyy</v>
      </c>
      <c r="J305" s="3"/>
      <c r="K305" s="3"/>
      <c r="L305" s="3"/>
      <c r="M305" s="3"/>
      <c r="N305" s="3"/>
      <c r="O305" s="3"/>
      <c r="P305" s="3"/>
      <c r="Q305" s="3"/>
      <c r="R305" s="3"/>
      <c r="S305" s="3"/>
      <c r="T305" s="3"/>
      <c r="U305" s="3"/>
      <c r="V305" s="3"/>
      <c r="W305" s="3"/>
      <c r="X305" s="3"/>
      <c r="Y305" s="3"/>
      <c r="Z305" s="3"/>
    </row>
    <row r="306" spans="1:26">
      <c r="A306" s="8" t="s">
        <v>313</v>
      </c>
      <c r="B306" s="3">
        <v>348</v>
      </c>
      <c r="C306" s="3">
        <v>10439.83</v>
      </c>
      <c r="D306" s="3">
        <v>4</v>
      </c>
      <c r="E306" s="3">
        <v>160.9</v>
      </c>
      <c r="F306" s="3">
        <v>344</v>
      </c>
      <c r="G306" s="3">
        <v>10278.93</v>
      </c>
      <c r="H306" s="3">
        <v>29.88</v>
      </c>
      <c r="I306" s="3" t="str">
        <f t="shared" si="1"/>
        <v>05/yyyy</v>
      </c>
      <c r="J306" s="3"/>
      <c r="K306" s="3"/>
      <c r="L306" s="3"/>
      <c r="M306" s="3"/>
      <c r="N306" s="3"/>
      <c r="O306" s="3"/>
      <c r="P306" s="3"/>
      <c r="Q306" s="3"/>
      <c r="R306" s="3"/>
      <c r="S306" s="3"/>
      <c r="T306" s="3"/>
      <c r="U306" s="3"/>
      <c r="V306" s="3"/>
      <c r="W306" s="3"/>
      <c r="X306" s="3"/>
      <c r="Y306" s="3"/>
      <c r="Z306" s="3"/>
    </row>
    <row r="307" spans="1:26">
      <c r="A307" s="8" t="s">
        <v>314</v>
      </c>
      <c r="B307" s="3">
        <v>350</v>
      </c>
      <c r="C307" s="3">
        <v>12766.91</v>
      </c>
      <c r="D307" s="3">
        <v>3</v>
      </c>
      <c r="E307" s="3">
        <v>370.98</v>
      </c>
      <c r="F307" s="3">
        <v>347</v>
      </c>
      <c r="G307" s="3">
        <v>12395.93</v>
      </c>
      <c r="H307" s="3">
        <v>35.72</v>
      </c>
      <c r="I307" s="3" t="str">
        <f t="shared" si="1"/>
        <v>05/yyyy</v>
      </c>
      <c r="J307" s="3"/>
      <c r="K307" s="3"/>
      <c r="L307" s="3"/>
      <c r="M307" s="3"/>
      <c r="N307" s="3"/>
      <c r="O307" s="3"/>
      <c r="P307" s="3"/>
      <c r="Q307" s="3"/>
      <c r="R307" s="3"/>
      <c r="S307" s="3"/>
      <c r="T307" s="3"/>
      <c r="U307" s="3"/>
      <c r="V307" s="3"/>
      <c r="W307" s="3"/>
      <c r="X307" s="3"/>
      <c r="Y307" s="3"/>
      <c r="Z307" s="3"/>
    </row>
    <row r="308" spans="1:26">
      <c r="A308" s="8" t="s">
        <v>315</v>
      </c>
      <c r="B308" s="3">
        <v>254</v>
      </c>
      <c r="C308" s="3">
        <v>9217.33</v>
      </c>
      <c r="D308" s="3">
        <v>0</v>
      </c>
      <c r="E308" s="3">
        <v>0</v>
      </c>
      <c r="F308" s="3">
        <v>254</v>
      </c>
      <c r="G308" s="3">
        <v>9217.33</v>
      </c>
      <c r="H308" s="3">
        <v>36.29</v>
      </c>
      <c r="I308" s="3" t="str">
        <f t="shared" si="1"/>
        <v>05/yyyy</v>
      </c>
      <c r="J308" s="3"/>
      <c r="K308" s="3"/>
      <c r="L308" s="3"/>
      <c r="M308" s="3"/>
      <c r="N308" s="3"/>
      <c r="O308" s="3"/>
      <c r="P308" s="3"/>
      <c r="Q308" s="3"/>
      <c r="R308" s="3"/>
      <c r="S308" s="3"/>
      <c r="T308" s="3"/>
      <c r="U308" s="3"/>
      <c r="V308" s="3"/>
      <c r="W308" s="3"/>
      <c r="X308" s="3"/>
      <c r="Y308" s="3"/>
      <c r="Z308" s="3"/>
    </row>
    <row r="309" spans="1:26">
      <c r="A309" s="8" t="s">
        <v>316</v>
      </c>
      <c r="B309" s="3">
        <v>247</v>
      </c>
      <c r="C309" s="3">
        <v>7936.09</v>
      </c>
      <c r="D309" s="3">
        <v>6</v>
      </c>
      <c r="E309" s="3">
        <v>112.9</v>
      </c>
      <c r="F309" s="3">
        <v>241</v>
      </c>
      <c r="G309" s="3">
        <v>7823.19</v>
      </c>
      <c r="H309" s="3">
        <v>32.46</v>
      </c>
      <c r="I309" s="3" t="str">
        <f t="shared" si="1"/>
        <v>05/yyyy</v>
      </c>
      <c r="J309" s="3"/>
      <c r="K309" s="3"/>
      <c r="L309" s="3"/>
      <c r="M309" s="3"/>
      <c r="N309" s="3"/>
      <c r="O309" s="3"/>
      <c r="P309" s="3"/>
      <c r="Q309" s="3"/>
      <c r="R309" s="3"/>
      <c r="S309" s="3"/>
      <c r="T309" s="3"/>
      <c r="U309" s="3"/>
      <c r="V309" s="3"/>
      <c r="W309" s="3"/>
      <c r="X309" s="3"/>
      <c r="Y309" s="3"/>
      <c r="Z309" s="3"/>
    </row>
    <row r="310" spans="1:26">
      <c r="A310" s="8" t="s">
        <v>317</v>
      </c>
      <c r="B310" s="3">
        <v>259</v>
      </c>
      <c r="C310" s="3">
        <v>9083.11</v>
      </c>
      <c r="D310" s="3">
        <v>1</v>
      </c>
      <c r="E310" s="3">
        <v>161.99</v>
      </c>
      <c r="F310" s="3">
        <v>258</v>
      </c>
      <c r="G310" s="3">
        <v>8921.1200000000008</v>
      </c>
      <c r="H310" s="3">
        <v>34.58</v>
      </c>
      <c r="I310" s="3" t="str">
        <f t="shared" si="1"/>
        <v>05/yyyy</v>
      </c>
      <c r="J310" s="3"/>
      <c r="K310" s="3"/>
      <c r="L310" s="3"/>
      <c r="M310" s="3"/>
      <c r="N310" s="3"/>
      <c r="O310" s="3"/>
      <c r="P310" s="3"/>
      <c r="Q310" s="3"/>
      <c r="R310" s="3"/>
      <c r="S310" s="3"/>
      <c r="T310" s="3"/>
      <c r="U310" s="3"/>
      <c r="V310" s="3"/>
      <c r="W310" s="3"/>
      <c r="X310" s="3"/>
      <c r="Y310" s="3"/>
      <c r="Z310" s="3"/>
    </row>
    <row r="311" spans="1:26">
      <c r="A311" s="8" t="s">
        <v>318</v>
      </c>
      <c r="B311" s="3">
        <v>247</v>
      </c>
      <c r="C311" s="3">
        <v>9799.0400000000009</v>
      </c>
      <c r="D311" s="3">
        <v>1</v>
      </c>
      <c r="E311" s="3">
        <v>95</v>
      </c>
      <c r="F311" s="3">
        <v>246</v>
      </c>
      <c r="G311" s="3">
        <v>9704.0400000000009</v>
      </c>
      <c r="H311" s="3">
        <v>39.450000000000003</v>
      </c>
      <c r="I311" s="3" t="str">
        <f t="shared" si="1"/>
        <v>05/yyyy</v>
      </c>
      <c r="J311" s="3"/>
      <c r="K311" s="3"/>
      <c r="L311" s="3"/>
      <c r="M311" s="3"/>
      <c r="N311" s="3"/>
      <c r="O311" s="3"/>
      <c r="P311" s="3"/>
      <c r="Q311" s="3"/>
      <c r="R311" s="3"/>
      <c r="S311" s="3"/>
      <c r="T311" s="3"/>
      <c r="U311" s="3"/>
      <c r="V311" s="3"/>
      <c r="W311" s="3"/>
      <c r="X311" s="3"/>
      <c r="Y311" s="3"/>
      <c r="Z311" s="3"/>
    </row>
    <row r="312" spans="1:26">
      <c r="A312" s="8" t="s">
        <v>319</v>
      </c>
      <c r="B312" s="3">
        <v>245</v>
      </c>
      <c r="C312" s="3">
        <v>6820.39</v>
      </c>
      <c r="D312" s="3">
        <v>3</v>
      </c>
      <c r="E312" s="3">
        <v>57.5</v>
      </c>
      <c r="F312" s="3">
        <v>242</v>
      </c>
      <c r="G312" s="3">
        <v>6762.89</v>
      </c>
      <c r="H312" s="3">
        <v>27.95</v>
      </c>
      <c r="I312" s="3" t="str">
        <f t="shared" si="1"/>
        <v>05/yyyy</v>
      </c>
      <c r="J312" s="3"/>
      <c r="K312" s="3"/>
      <c r="L312" s="3"/>
      <c r="M312" s="3"/>
      <c r="N312" s="3"/>
      <c r="O312" s="3"/>
      <c r="P312" s="3"/>
      <c r="Q312" s="3"/>
      <c r="R312" s="3"/>
      <c r="S312" s="3"/>
      <c r="T312" s="3"/>
      <c r="U312" s="3"/>
      <c r="V312" s="3"/>
      <c r="W312" s="3"/>
      <c r="X312" s="3"/>
      <c r="Y312" s="3"/>
      <c r="Z312" s="3"/>
    </row>
    <row r="313" spans="1:26">
      <c r="A313" s="8" t="s">
        <v>320</v>
      </c>
      <c r="B313" s="3">
        <v>279</v>
      </c>
      <c r="C313" s="3">
        <v>11197.41</v>
      </c>
      <c r="D313" s="3">
        <v>2</v>
      </c>
      <c r="E313" s="3">
        <v>61</v>
      </c>
      <c r="F313" s="3">
        <v>277</v>
      </c>
      <c r="G313" s="3">
        <v>11136.41</v>
      </c>
      <c r="H313" s="3">
        <v>40.200000000000003</v>
      </c>
      <c r="I313" s="3" t="str">
        <f t="shared" si="1"/>
        <v>05/yyyy</v>
      </c>
      <c r="J313" s="3"/>
      <c r="K313" s="3"/>
      <c r="L313" s="3"/>
      <c r="M313" s="3"/>
      <c r="N313" s="3"/>
      <c r="O313" s="3"/>
      <c r="P313" s="3"/>
      <c r="Q313" s="3"/>
      <c r="R313" s="3"/>
      <c r="S313" s="3"/>
      <c r="T313" s="3"/>
      <c r="U313" s="3"/>
      <c r="V313" s="3"/>
      <c r="W313" s="3"/>
      <c r="X313" s="3"/>
      <c r="Y313" s="3"/>
      <c r="Z313" s="3"/>
    </row>
    <row r="314" spans="1:26">
      <c r="A314" s="8" t="s">
        <v>321</v>
      </c>
      <c r="B314" s="3">
        <v>447</v>
      </c>
      <c r="C314" s="3">
        <v>19110.8</v>
      </c>
      <c r="D314" s="3">
        <v>2</v>
      </c>
      <c r="E314" s="3">
        <v>44</v>
      </c>
      <c r="F314" s="3">
        <v>445</v>
      </c>
      <c r="G314" s="3">
        <v>19066.8</v>
      </c>
      <c r="H314" s="3">
        <v>42.85</v>
      </c>
      <c r="I314" s="3" t="str">
        <f t="shared" si="1"/>
        <v>05/yyyy</v>
      </c>
      <c r="J314" s="3"/>
      <c r="K314" s="3"/>
      <c r="L314" s="3"/>
      <c r="M314" s="3"/>
      <c r="N314" s="3"/>
      <c r="O314" s="3"/>
      <c r="P314" s="3"/>
      <c r="Q314" s="3"/>
      <c r="R314" s="3"/>
      <c r="S314" s="3"/>
      <c r="T314" s="3"/>
      <c r="U314" s="3"/>
      <c r="V314" s="3"/>
      <c r="W314" s="3"/>
      <c r="X314" s="3"/>
      <c r="Y314" s="3"/>
      <c r="Z314" s="3"/>
    </row>
    <row r="315" spans="1:26">
      <c r="A315" s="8" t="s">
        <v>322</v>
      </c>
      <c r="B315" s="3">
        <v>422</v>
      </c>
      <c r="C315" s="3">
        <v>23523.48</v>
      </c>
      <c r="D315" s="3">
        <v>6</v>
      </c>
      <c r="E315" s="3">
        <v>572.54</v>
      </c>
      <c r="F315" s="3">
        <v>416</v>
      </c>
      <c r="G315" s="3">
        <v>22950.94</v>
      </c>
      <c r="H315" s="3">
        <v>55.17</v>
      </c>
      <c r="I315" s="3" t="str">
        <f t="shared" si="1"/>
        <v>05/yyyy</v>
      </c>
      <c r="J315" s="3"/>
      <c r="K315" s="3"/>
      <c r="L315" s="3"/>
      <c r="M315" s="3"/>
      <c r="N315" s="3"/>
      <c r="O315" s="3"/>
      <c r="P315" s="3"/>
      <c r="Q315" s="3"/>
      <c r="R315" s="3"/>
      <c r="S315" s="3"/>
      <c r="T315" s="3"/>
      <c r="U315" s="3"/>
      <c r="V315" s="3"/>
      <c r="W315" s="3"/>
      <c r="X315" s="3"/>
      <c r="Y315" s="3"/>
      <c r="Z315" s="3"/>
    </row>
    <row r="316" spans="1:26">
      <c r="A316" s="8" t="s">
        <v>323</v>
      </c>
      <c r="B316" s="3">
        <v>236</v>
      </c>
      <c r="C316" s="3">
        <v>8254.06</v>
      </c>
      <c r="D316" s="3">
        <v>1</v>
      </c>
      <c r="E316" s="3">
        <v>10</v>
      </c>
      <c r="F316" s="3">
        <v>236</v>
      </c>
      <c r="G316" s="3">
        <v>8244.06</v>
      </c>
      <c r="H316" s="3">
        <v>35.08</v>
      </c>
      <c r="I316" s="3" t="str">
        <f t="shared" si="1"/>
        <v>05/yyyy</v>
      </c>
      <c r="J316" s="3"/>
      <c r="K316" s="3"/>
      <c r="L316" s="3"/>
      <c r="M316" s="3"/>
      <c r="N316" s="3"/>
      <c r="O316" s="3"/>
      <c r="P316" s="3"/>
      <c r="Q316" s="3"/>
      <c r="R316" s="3"/>
      <c r="S316" s="3"/>
      <c r="T316" s="3"/>
      <c r="U316" s="3"/>
      <c r="V316" s="3"/>
      <c r="W316" s="3"/>
      <c r="X316" s="3"/>
      <c r="Y316" s="3"/>
      <c r="Z316" s="3"/>
    </row>
    <row r="317" spans="1:26">
      <c r="A317" s="8" t="s">
        <v>324</v>
      </c>
      <c r="B317" s="3">
        <v>226</v>
      </c>
      <c r="C317" s="3">
        <v>7190.13</v>
      </c>
      <c r="D317" s="3">
        <v>0</v>
      </c>
      <c r="E317" s="3">
        <v>0</v>
      </c>
      <c r="F317" s="3">
        <v>226</v>
      </c>
      <c r="G317" s="3">
        <v>7190.13</v>
      </c>
      <c r="H317" s="3">
        <v>31.81</v>
      </c>
      <c r="I317" s="3" t="str">
        <f t="shared" si="1"/>
        <v>05/yyyy</v>
      </c>
      <c r="J317" s="3"/>
      <c r="K317" s="3"/>
      <c r="L317" s="3"/>
      <c r="M317" s="3"/>
      <c r="N317" s="3"/>
      <c r="O317" s="3"/>
      <c r="P317" s="3"/>
      <c r="Q317" s="3"/>
      <c r="R317" s="3"/>
      <c r="S317" s="3"/>
      <c r="T317" s="3"/>
      <c r="U317" s="3"/>
      <c r="V317" s="3"/>
      <c r="W317" s="3"/>
      <c r="X317" s="3"/>
      <c r="Y317" s="3"/>
      <c r="Z317" s="3"/>
    </row>
    <row r="318" spans="1:26">
      <c r="A318" s="8" t="s">
        <v>325</v>
      </c>
      <c r="B318" s="3">
        <v>213</v>
      </c>
      <c r="C318" s="3">
        <v>8025.3</v>
      </c>
      <c r="D318" s="3">
        <v>0</v>
      </c>
      <c r="E318" s="3">
        <v>0</v>
      </c>
      <c r="F318" s="3">
        <v>213</v>
      </c>
      <c r="G318" s="3">
        <v>8025.3</v>
      </c>
      <c r="H318" s="3">
        <v>37.68</v>
      </c>
      <c r="I318" s="3" t="str">
        <f t="shared" si="1"/>
        <v>05/yyyy</v>
      </c>
      <c r="J318" s="3"/>
      <c r="K318" s="3"/>
      <c r="L318" s="3"/>
      <c r="M318" s="3"/>
      <c r="N318" s="3"/>
      <c r="O318" s="3"/>
      <c r="P318" s="3"/>
      <c r="Q318" s="3"/>
      <c r="R318" s="3"/>
      <c r="S318" s="3"/>
      <c r="T318" s="3"/>
      <c r="U318" s="3"/>
      <c r="V318" s="3"/>
      <c r="W318" s="3"/>
      <c r="X318" s="3"/>
      <c r="Y318" s="3"/>
      <c r="Z318" s="3"/>
    </row>
    <row r="319" spans="1:26">
      <c r="A319" s="8" t="s">
        <v>326</v>
      </c>
      <c r="B319" s="3">
        <v>237</v>
      </c>
      <c r="C319" s="3">
        <v>8186.79</v>
      </c>
      <c r="D319" s="3">
        <v>2</v>
      </c>
      <c r="E319" s="3">
        <v>71.2</v>
      </c>
      <c r="F319" s="3">
        <v>235</v>
      </c>
      <c r="G319" s="3">
        <v>8115.59</v>
      </c>
      <c r="H319" s="3">
        <v>34.53</v>
      </c>
      <c r="I319" s="3" t="str">
        <f t="shared" si="1"/>
        <v>05/yyyy</v>
      </c>
      <c r="J319" s="3"/>
      <c r="K319" s="3"/>
      <c r="L319" s="3"/>
      <c r="M319" s="3"/>
      <c r="N319" s="3"/>
      <c r="O319" s="3"/>
      <c r="P319" s="3"/>
      <c r="Q319" s="3"/>
      <c r="R319" s="3"/>
      <c r="S319" s="3"/>
      <c r="T319" s="3"/>
      <c r="U319" s="3"/>
      <c r="V319" s="3"/>
      <c r="W319" s="3"/>
      <c r="X319" s="3"/>
      <c r="Y319" s="3"/>
      <c r="Z319" s="3"/>
    </row>
    <row r="320" spans="1:26">
      <c r="A320" s="8" t="s">
        <v>327</v>
      </c>
      <c r="B320" s="3">
        <v>265</v>
      </c>
      <c r="C320" s="3">
        <v>10138.94</v>
      </c>
      <c r="D320" s="3">
        <v>2</v>
      </c>
      <c r="E320" s="3">
        <v>65.510000000000005</v>
      </c>
      <c r="F320" s="3">
        <v>263</v>
      </c>
      <c r="G320" s="3">
        <v>10073.43</v>
      </c>
      <c r="H320" s="3">
        <v>38.299999999999997</v>
      </c>
      <c r="I320" s="3" t="str">
        <f t="shared" si="1"/>
        <v>05/yyyy</v>
      </c>
      <c r="J320" s="3"/>
      <c r="K320" s="3"/>
      <c r="L320" s="3"/>
      <c r="M320" s="3"/>
      <c r="N320" s="3"/>
      <c r="O320" s="3"/>
      <c r="P320" s="3"/>
      <c r="Q320" s="3"/>
      <c r="R320" s="3"/>
      <c r="S320" s="3"/>
      <c r="T320" s="3"/>
      <c r="U320" s="3"/>
      <c r="V320" s="3"/>
      <c r="W320" s="3"/>
      <c r="X320" s="3"/>
      <c r="Y320" s="3"/>
      <c r="Z320" s="3"/>
    </row>
    <row r="321" spans="1:26">
      <c r="A321" s="8" t="s">
        <v>328</v>
      </c>
      <c r="B321" s="3">
        <v>403</v>
      </c>
      <c r="C321" s="3">
        <v>17357.02</v>
      </c>
      <c r="D321" s="3">
        <v>1</v>
      </c>
      <c r="E321" s="3">
        <v>159.44900000000001</v>
      </c>
      <c r="F321" s="3">
        <v>402</v>
      </c>
      <c r="G321" s="3">
        <v>17197.53</v>
      </c>
      <c r="H321" s="3">
        <v>42.78</v>
      </c>
      <c r="I321" s="3" t="str">
        <f t="shared" si="1"/>
        <v>05/yyyy</v>
      </c>
      <c r="J321" s="3"/>
      <c r="K321" s="3"/>
      <c r="L321" s="3"/>
      <c r="M321" s="3"/>
      <c r="N321" s="3"/>
      <c r="O321" s="3"/>
      <c r="P321" s="3"/>
      <c r="Q321" s="3"/>
      <c r="R321" s="3"/>
      <c r="S321" s="3"/>
      <c r="T321" s="3"/>
      <c r="U321" s="3"/>
      <c r="V321" s="3"/>
      <c r="W321" s="3"/>
      <c r="X321" s="3"/>
      <c r="Y321" s="3"/>
      <c r="Z321" s="3"/>
    </row>
    <row r="322" spans="1:26">
      <c r="A322" s="8" t="s">
        <v>329</v>
      </c>
      <c r="B322" s="3">
        <v>194</v>
      </c>
      <c r="C322" s="3">
        <v>6313.98</v>
      </c>
      <c r="D322" s="3">
        <v>7</v>
      </c>
      <c r="E322" s="3">
        <v>268.7</v>
      </c>
      <c r="F322" s="3">
        <v>187</v>
      </c>
      <c r="G322" s="3">
        <v>6045.28</v>
      </c>
      <c r="H322" s="3">
        <v>32.33</v>
      </c>
      <c r="I322" s="3" t="str">
        <f t="shared" si="1"/>
        <v>05/yyyy</v>
      </c>
      <c r="J322" s="3"/>
      <c r="K322" s="3"/>
      <c r="L322" s="3"/>
      <c r="M322" s="3"/>
      <c r="N322" s="3"/>
      <c r="O322" s="3"/>
      <c r="P322" s="3"/>
      <c r="Q322" s="3"/>
      <c r="R322" s="3"/>
      <c r="S322" s="3"/>
      <c r="T322" s="3"/>
      <c r="U322" s="3"/>
      <c r="V322" s="3"/>
      <c r="W322" s="3"/>
      <c r="X322" s="3"/>
      <c r="Y322" s="3"/>
      <c r="Z322" s="3"/>
    </row>
    <row r="323" spans="1:26">
      <c r="A323" s="8" t="s">
        <v>330</v>
      </c>
      <c r="B323" s="3">
        <v>278</v>
      </c>
      <c r="C323" s="3">
        <v>8528.5</v>
      </c>
      <c r="D323" s="3">
        <v>1</v>
      </c>
      <c r="E323" s="3">
        <v>6.7</v>
      </c>
      <c r="F323" s="3">
        <v>277</v>
      </c>
      <c r="G323" s="3">
        <v>8521.7999999999993</v>
      </c>
      <c r="H323" s="3">
        <v>30.76</v>
      </c>
      <c r="I323" s="3" t="str">
        <f t="shared" si="1"/>
        <v>05/yyyy</v>
      </c>
      <c r="J323" s="3"/>
      <c r="K323" s="3"/>
      <c r="L323" s="3"/>
      <c r="M323" s="3"/>
      <c r="N323" s="3"/>
      <c r="O323" s="3"/>
      <c r="P323" s="3"/>
      <c r="Q323" s="3"/>
      <c r="R323" s="3"/>
      <c r="S323" s="3"/>
      <c r="T323" s="3"/>
      <c r="U323" s="3"/>
      <c r="V323" s="3"/>
      <c r="W323" s="3"/>
      <c r="X323" s="3"/>
      <c r="Y323" s="3"/>
      <c r="Z323" s="3"/>
    </row>
    <row r="324" spans="1:26">
      <c r="A324" s="8" t="s">
        <v>331</v>
      </c>
      <c r="B324" s="3">
        <v>249</v>
      </c>
      <c r="C324" s="3">
        <v>7284.24</v>
      </c>
      <c r="D324" s="3">
        <v>1</v>
      </c>
      <c r="E324" s="3">
        <v>15</v>
      </c>
      <c r="F324" s="3">
        <v>248</v>
      </c>
      <c r="G324" s="3">
        <v>7269.24</v>
      </c>
      <c r="H324" s="3">
        <v>29.31</v>
      </c>
      <c r="I324" s="3" t="str">
        <f t="shared" si="1"/>
        <v>05/yyyy</v>
      </c>
      <c r="J324" s="3"/>
      <c r="K324" s="3"/>
      <c r="L324" s="3"/>
      <c r="M324" s="3"/>
      <c r="N324" s="3"/>
      <c r="O324" s="3"/>
      <c r="P324" s="3"/>
      <c r="Q324" s="3"/>
      <c r="R324" s="3"/>
      <c r="S324" s="3"/>
      <c r="T324" s="3"/>
      <c r="U324" s="3"/>
      <c r="V324" s="3"/>
      <c r="W324" s="3"/>
      <c r="X324" s="3"/>
      <c r="Y324" s="3"/>
      <c r="Z324" s="3"/>
    </row>
    <row r="325" spans="1:26">
      <c r="A325" s="8" t="s">
        <v>332</v>
      </c>
      <c r="B325" s="3">
        <v>198</v>
      </c>
      <c r="C325" s="3">
        <v>7300.73</v>
      </c>
      <c r="D325" s="3">
        <v>0</v>
      </c>
      <c r="E325" s="3">
        <v>0</v>
      </c>
      <c r="F325" s="3">
        <v>198</v>
      </c>
      <c r="G325" s="3">
        <v>7300.73</v>
      </c>
      <c r="H325" s="3">
        <v>36.869999999999997</v>
      </c>
      <c r="I325" s="3" t="str">
        <f t="shared" si="1"/>
        <v>05/yyyy</v>
      </c>
      <c r="J325" s="3"/>
      <c r="K325" s="3"/>
      <c r="L325" s="3"/>
      <c r="M325" s="3"/>
      <c r="N325" s="3"/>
      <c r="O325" s="3"/>
      <c r="P325" s="3"/>
      <c r="Q325" s="3"/>
      <c r="R325" s="3"/>
      <c r="S325" s="3"/>
      <c r="T325" s="3"/>
      <c r="U325" s="3"/>
      <c r="V325" s="3"/>
      <c r="W325" s="3"/>
      <c r="X325" s="3"/>
      <c r="Y325" s="3"/>
      <c r="Z325" s="3"/>
    </row>
    <row r="326" spans="1:26">
      <c r="A326" s="8" t="s">
        <v>333</v>
      </c>
      <c r="B326" s="3">
        <v>215</v>
      </c>
      <c r="C326" s="3">
        <v>7069.45</v>
      </c>
      <c r="D326" s="3">
        <v>0</v>
      </c>
      <c r="E326" s="3">
        <v>0</v>
      </c>
      <c r="F326" s="3">
        <v>215</v>
      </c>
      <c r="G326" s="3">
        <v>7069.45</v>
      </c>
      <c r="H326" s="3">
        <v>32.880000000000003</v>
      </c>
      <c r="I326" s="3" t="str">
        <f t="shared" si="1"/>
        <v>05/yyyy</v>
      </c>
      <c r="J326" s="3"/>
      <c r="K326" s="3"/>
      <c r="L326" s="3"/>
      <c r="M326" s="3"/>
      <c r="N326" s="3"/>
      <c r="O326" s="3"/>
      <c r="P326" s="3"/>
      <c r="Q326" s="3"/>
      <c r="R326" s="3"/>
      <c r="S326" s="3"/>
      <c r="T326" s="3"/>
      <c r="U326" s="3"/>
      <c r="V326" s="3"/>
      <c r="W326" s="3"/>
      <c r="X326" s="3"/>
      <c r="Y326" s="3"/>
      <c r="Z326" s="3"/>
    </row>
    <row r="327" spans="1:26">
      <c r="A327" s="8" t="s">
        <v>334</v>
      </c>
      <c r="B327" s="3">
        <v>269</v>
      </c>
      <c r="C327" s="3">
        <v>10346.370000000001</v>
      </c>
      <c r="D327" s="3">
        <v>1</v>
      </c>
      <c r="E327" s="3">
        <v>20.100000000000001</v>
      </c>
      <c r="F327" s="3">
        <v>268</v>
      </c>
      <c r="G327" s="3">
        <v>10326.27</v>
      </c>
      <c r="H327" s="3">
        <v>38.53</v>
      </c>
      <c r="I327" s="3" t="str">
        <f t="shared" si="1"/>
        <v>05/yyyy</v>
      </c>
      <c r="J327" s="3"/>
      <c r="K327" s="3"/>
      <c r="L327" s="3"/>
      <c r="M327" s="3"/>
      <c r="N327" s="3"/>
      <c r="O327" s="3"/>
      <c r="P327" s="3"/>
      <c r="Q327" s="3"/>
      <c r="R327" s="3"/>
      <c r="S327" s="3"/>
      <c r="T327" s="3"/>
      <c r="U327" s="3"/>
      <c r="V327" s="3"/>
      <c r="W327" s="3"/>
      <c r="X327" s="3"/>
      <c r="Y327" s="3"/>
      <c r="Z327" s="3"/>
    </row>
    <row r="328" spans="1:26">
      <c r="A328" s="8" t="s">
        <v>335</v>
      </c>
      <c r="B328" s="3">
        <v>401</v>
      </c>
      <c r="C328" s="3">
        <v>16837.16</v>
      </c>
      <c r="D328" s="3">
        <v>2</v>
      </c>
      <c r="E328" s="3">
        <v>65.5</v>
      </c>
      <c r="F328" s="3">
        <v>399</v>
      </c>
      <c r="G328" s="3">
        <v>16771.66</v>
      </c>
      <c r="H328" s="3">
        <v>42.03</v>
      </c>
      <c r="I328" s="3" t="str">
        <f t="shared" si="1"/>
        <v>05/yyyy</v>
      </c>
      <c r="J328" s="3"/>
      <c r="K328" s="3"/>
      <c r="L328" s="3"/>
      <c r="M328" s="3"/>
      <c r="N328" s="3"/>
      <c r="O328" s="3"/>
      <c r="P328" s="3"/>
      <c r="Q328" s="3"/>
      <c r="R328" s="3"/>
      <c r="S328" s="3"/>
      <c r="T328" s="3"/>
      <c r="U328" s="3"/>
      <c r="V328" s="3"/>
      <c r="W328" s="3"/>
      <c r="X328" s="3"/>
      <c r="Y328" s="3"/>
      <c r="Z328" s="3"/>
    </row>
    <row r="329" spans="1:26">
      <c r="A329" s="8" t="s">
        <v>336</v>
      </c>
      <c r="B329" s="3">
        <v>211</v>
      </c>
      <c r="C329" s="3">
        <v>7991.41</v>
      </c>
      <c r="D329" s="3">
        <v>2</v>
      </c>
      <c r="E329" s="3">
        <v>28</v>
      </c>
      <c r="F329" s="3">
        <v>209</v>
      </c>
      <c r="G329" s="3">
        <v>7963.41</v>
      </c>
      <c r="H329" s="3">
        <v>38.1</v>
      </c>
      <c r="I329" s="3" t="str">
        <f t="shared" si="1"/>
        <v>05/yyyy</v>
      </c>
      <c r="J329" s="3"/>
      <c r="K329" s="3"/>
      <c r="L329" s="3"/>
      <c r="M329" s="3"/>
      <c r="N329" s="3"/>
      <c r="O329" s="3"/>
      <c r="P329" s="3"/>
      <c r="Q329" s="3"/>
      <c r="R329" s="3"/>
      <c r="S329" s="3"/>
      <c r="T329" s="3"/>
      <c r="U329" s="3"/>
      <c r="V329" s="3"/>
      <c r="W329" s="3"/>
      <c r="X329" s="3"/>
      <c r="Y329" s="3"/>
      <c r="Z329" s="3"/>
    </row>
    <row r="330" spans="1:26">
      <c r="A330" s="8" t="s">
        <v>337</v>
      </c>
      <c r="B330" s="3">
        <v>253</v>
      </c>
      <c r="C330" s="3">
        <v>8291.77</v>
      </c>
      <c r="D330" s="3">
        <v>3</v>
      </c>
      <c r="E330" s="3">
        <v>111.74</v>
      </c>
      <c r="F330" s="3">
        <v>250</v>
      </c>
      <c r="G330" s="3">
        <v>8180.03</v>
      </c>
      <c r="H330" s="3">
        <v>32.72</v>
      </c>
      <c r="I330" s="3" t="str">
        <f t="shared" si="1"/>
        <v>05/yyyy</v>
      </c>
      <c r="J330" s="3"/>
      <c r="K330" s="3"/>
      <c r="L330" s="3"/>
      <c r="M330" s="3"/>
      <c r="N330" s="3"/>
      <c r="O330" s="3"/>
      <c r="P330" s="3"/>
      <c r="Q330" s="3"/>
      <c r="R330" s="3"/>
      <c r="S330" s="3"/>
      <c r="T330" s="3"/>
      <c r="U330" s="3"/>
      <c r="V330" s="3"/>
      <c r="W330" s="3"/>
      <c r="X330" s="3"/>
      <c r="Y330" s="3"/>
      <c r="Z330" s="3"/>
    </row>
    <row r="331" spans="1:26">
      <c r="A331" s="8" t="s">
        <v>338</v>
      </c>
      <c r="B331" s="3">
        <v>253</v>
      </c>
      <c r="C331" s="3">
        <v>8773.44</v>
      </c>
      <c r="D331" s="3">
        <v>0</v>
      </c>
      <c r="E331" s="3">
        <v>0</v>
      </c>
      <c r="F331" s="3">
        <v>253</v>
      </c>
      <c r="G331" s="3">
        <v>8773.44</v>
      </c>
      <c r="H331" s="3">
        <v>34.68</v>
      </c>
      <c r="I331" s="3" t="str">
        <f t="shared" si="1"/>
        <v>05/yyyy</v>
      </c>
      <c r="J331" s="3"/>
      <c r="K331" s="3"/>
      <c r="L331" s="3"/>
      <c r="M331" s="3"/>
      <c r="N331" s="3"/>
      <c r="O331" s="3"/>
      <c r="P331" s="3"/>
      <c r="Q331" s="3"/>
      <c r="R331" s="3"/>
      <c r="S331" s="3"/>
      <c r="T331" s="3"/>
      <c r="U331" s="3"/>
      <c r="V331" s="3"/>
      <c r="W331" s="3"/>
      <c r="X331" s="3"/>
      <c r="Y331" s="3"/>
      <c r="Z331" s="3"/>
    </row>
    <row r="332" spans="1:26">
      <c r="A332" s="8" t="s">
        <v>339</v>
      </c>
      <c r="B332" s="3">
        <v>257</v>
      </c>
      <c r="C332" s="3">
        <v>8528.9599999999991</v>
      </c>
      <c r="D332" s="3">
        <v>1</v>
      </c>
      <c r="E332" s="3">
        <v>39</v>
      </c>
      <c r="F332" s="3">
        <v>256</v>
      </c>
      <c r="G332" s="3">
        <v>8489.9599999999991</v>
      </c>
      <c r="H332" s="3">
        <v>33.159999999999997</v>
      </c>
      <c r="I332" s="3" t="str">
        <f t="shared" si="1"/>
        <v>05/yyyy</v>
      </c>
      <c r="J332" s="3"/>
      <c r="K332" s="3"/>
      <c r="L332" s="3"/>
      <c r="M332" s="3"/>
      <c r="N332" s="3"/>
      <c r="O332" s="3"/>
      <c r="P332" s="3"/>
      <c r="Q332" s="3"/>
      <c r="R332" s="3"/>
      <c r="S332" s="3"/>
      <c r="T332" s="3"/>
      <c r="U332" s="3"/>
      <c r="V332" s="3"/>
      <c r="W332" s="3"/>
      <c r="X332" s="3"/>
      <c r="Y332" s="3"/>
      <c r="Z332" s="3"/>
    </row>
    <row r="333" spans="1:26">
      <c r="A333" s="8" t="s">
        <v>340</v>
      </c>
      <c r="B333" s="3">
        <v>250</v>
      </c>
      <c r="C333" s="3">
        <v>7977.75</v>
      </c>
      <c r="D333" s="3">
        <v>0</v>
      </c>
      <c r="E333" s="3">
        <v>0</v>
      </c>
      <c r="F333" s="3">
        <v>250</v>
      </c>
      <c r="G333" s="3">
        <v>7977.75</v>
      </c>
      <c r="H333" s="3">
        <v>31.91</v>
      </c>
      <c r="I333" s="3" t="str">
        <f t="shared" si="1"/>
        <v>05/yyyy</v>
      </c>
      <c r="J333" s="3"/>
      <c r="K333" s="3"/>
      <c r="L333" s="3"/>
      <c r="M333" s="3"/>
      <c r="N333" s="3"/>
      <c r="O333" s="3"/>
      <c r="P333" s="3"/>
      <c r="Q333" s="3"/>
      <c r="R333" s="3"/>
      <c r="S333" s="3"/>
      <c r="T333" s="3"/>
      <c r="U333" s="3"/>
      <c r="V333" s="3"/>
      <c r="W333" s="3"/>
      <c r="X333" s="3"/>
      <c r="Y333" s="3"/>
      <c r="Z333" s="3"/>
    </row>
    <row r="334" spans="1:26">
      <c r="A334" s="8" t="s">
        <v>341</v>
      </c>
      <c r="B334" s="3">
        <v>287</v>
      </c>
      <c r="C334" s="3">
        <v>10430.36</v>
      </c>
      <c r="D334" s="3">
        <v>1</v>
      </c>
      <c r="E334" s="3">
        <v>113.49</v>
      </c>
      <c r="F334" s="3">
        <v>286</v>
      </c>
      <c r="G334" s="3">
        <v>10316.870000000001</v>
      </c>
      <c r="H334" s="3">
        <v>36.07</v>
      </c>
      <c r="I334" s="3" t="str">
        <f t="shared" si="1"/>
        <v>05/yyyy</v>
      </c>
      <c r="J334" s="3"/>
      <c r="K334" s="3"/>
      <c r="L334" s="3"/>
      <c r="M334" s="3"/>
      <c r="N334" s="3"/>
      <c r="O334" s="3"/>
      <c r="P334" s="3"/>
      <c r="Q334" s="3"/>
      <c r="R334" s="3"/>
      <c r="S334" s="3"/>
      <c r="T334" s="3"/>
      <c r="U334" s="3"/>
      <c r="V334" s="3"/>
      <c r="W334" s="3"/>
      <c r="X334" s="3"/>
      <c r="Y334" s="3"/>
      <c r="Z334" s="3"/>
    </row>
    <row r="335" spans="1:26">
      <c r="A335" s="8" t="s">
        <v>342</v>
      </c>
      <c r="B335" s="3">
        <v>384</v>
      </c>
      <c r="C335" s="3">
        <v>12733.61</v>
      </c>
      <c r="D335" s="3">
        <v>0</v>
      </c>
      <c r="E335" s="3">
        <v>0</v>
      </c>
      <c r="F335" s="3">
        <v>384</v>
      </c>
      <c r="G335" s="3">
        <v>12733.61</v>
      </c>
      <c r="H335" s="3">
        <v>33.159999999999997</v>
      </c>
      <c r="I335" s="3" t="str">
        <f t="shared" si="1"/>
        <v>05/yyyy</v>
      </c>
      <c r="J335" s="3"/>
      <c r="K335" s="3"/>
      <c r="L335" s="3"/>
      <c r="M335" s="3"/>
      <c r="N335" s="3"/>
      <c r="O335" s="3"/>
      <c r="P335" s="3"/>
      <c r="Q335" s="3"/>
      <c r="R335" s="3"/>
      <c r="S335" s="3"/>
      <c r="T335" s="3"/>
      <c r="U335" s="3"/>
      <c r="V335" s="3"/>
      <c r="W335" s="3"/>
      <c r="X335" s="3"/>
      <c r="Y335" s="3"/>
      <c r="Z335" s="3"/>
    </row>
    <row r="336" spans="1:26">
      <c r="A336" s="8" t="s">
        <v>343</v>
      </c>
      <c r="B336" s="3">
        <v>273</v>
      </c>
      <c r="C336" s="3">
        <v>10988.74</v>
      </c>
      <c r="D336" s="3">
        <v>0</v>
      </c>
      <c r="E336" s="3">
        <v>0</v>
      </c>
      <c r="F336" s="3">
        <v>273</v>
      </c>
      <c r="G336" s="3">
        <v>10988.74</v>
      </c>
      <c r="H336" s="3">
        <v>40.25</v>
      </c>
      <c r="I336" s="3" t="str">
        <f t="shared" si="1"/>
        <v>05/yyyy</v>
      </c>
      <c r="J336" s="3"/>
      <c r="K336" s="3"/>
      <c r="L336" s="3"/>
      <c r="M336" s="3"/>
      <c r="N336" s="3"/>
      <c r="O336" s="3"/>
      <c r="P336" s="3"/>
      <c r="Q336" s="3"/>
      <c r="R336" s="3"/>
      <c r="S336" s="3"/>
      <c r="T336" s="3"/>
      <c r="U336" s="3"/>
      <c r="V336" s="3"/>
      <c r="W336" s="3"/>
      <c r="X336" s="3"/>
      <c r="Y336" s="3"/>
      <c r="Z336" s="3"/>
    </row>
    <row r="337" spans="1:26">
      <c r="A337" s="8" t="s">
        <v>344</v>
      </c>
      <c r="B337" s="3">
        <v>297</v>
      </c>
      <c r="C337" s="3">
        <v>9064.9500000000007</v>
      </c>
      <c r="D337" s="3">
        <v>3</v>
      </c>
      <c r="E337" s="3">
        <v>127.2</v>
      </c>
      <c r="F337" s="3">
        <v>294</v>
      </c>
      <c r="G337" s="3">
        <v>8937.75</v>
      </c>
      <c r="H337" s="3">
        <v>30.4</v>
      </c>
      <c r="I337" s="3" t="str">
        <f t="shared" si="1"/>
        <v>06/yyyy</v>
      </c>
      <c r="J337" s="3"/>
      <c r="K337" s="3"/>
      <c r="L337" s="3"/>
      <c r="M337" s="3"/>
      <c r="N337" s="3"/>
      <c r="O337" s="3"/>
      <c r="P337" s="3"/>
      <c r="Q337" s="3"/>
      <c r="R337" s="3"/>
      <c r="S337" s="3"/>
      <c r="T337" s="3"/>
      <c r="U337" s="3"/>
      <c r="V337" s="3"/>
      <c r="W337" s="3"/>
      <c r="X337" s="3"/>
      <c r="Y337" s="3"/>
      <c r="Z337" s="3"/>
    </row>
    <row r="338" spans="1:26">
      <c r="A338" s="8" t="s">
        <v>345</v>
      </c>
      <c r="B338" s="3">
        <v>252</v>
      </c>
      <c r="C338" s="3">
        <v>9563.0400000000009</v>
      </c>
      <c r="D338" s="3">
        <v>0</v>
      </c>
      <c r="E338" s="3">
        <v>0</v>
      </c>
      <c r="F338" s="3">
        <v>252</v>
      </c>
      <c r="G338" s="3">
        <v>9563.0400000000009</v>
      </c>
      <c r="H338" s="3">
        <v>37.950000000000003</v>
      </c>
      <c r="I338" s="3" t="str">
        <f t="shared" si="1"/>
        <v>06/yyyy</v>
      </c>
      <c r="J338" s="3"/>
      <c r="K338" s="3"/>
      <c r="L338" s="3"/>
      <c r="M338" s="3"/>
      <c r="N338" s="3"/>
      <c r="O338" s="3"/>
      <c r="P338" s="3"/>
      <c r="Q338" s="3"/>
      <c r="R338" s="3"/>
      <c r="S338" s="3"/>
      <c r="T338" s="3"/>
      <c r="U338" s="3"/>
      <c r="V338" s="3"/>
      <c r="W338" s="3"/>
      <c r="X338" s="3"/>
      <c r="Y338" s="3"/>
      <c r="Z338" s="3"/>
    </row>
    <row r="339" spans="1:26">
      <c r="A339" s="8" t="s">
        <v>346</v>
      </c>
      <c r="B339" s="3">
        <v>294</v>
      </c>
      <c r="C339" s="3">
        <v>11146.91</v>
      </c>
      <c r="D339" s="3">
        <v>2</v>
      </c>
      <c r="E339" s="3">
        <v>12.1</v>
      </c>
      <c r="F339" s="3">
        <v>292</v>
      </c>
      <c r="G339" s="3">
        <v>11134.81</v>
      </c>
      <c r="H339" s="3">
        <v>38.130000000000003</v>
      </c>
      <c r="I339" s="3" t="str">
        <f t="shared" si="1"/>
        <v>06/yyyy</v>
      </c>
      <c r="J339" s="3"/>
      <c r="K339" s="3"/>
      <c r="L339" s="3"/>
      <c r="M339" s="3"/>
      <c r="N339" s="3"/>
      <c r="O339" s="3"/>
      <c r="P339" s="3"/>
      <c r="Q339" s="3"/>
      <c r="R339" s="3"/>
      <c r="S339" s="3"/>
      <c r="T339" s="3"/>
      <c r="U339" s="3"/>
      <c r="V339" s="3"/>
      <c r="W339" s="3"/>
      <c r="X339" s="3"/>
      <c r="Y339" s="3"/>
      <c r="Z339" s="3"/>
    </row>
    <row r="340" spans="1:26">
      <c r="A340" s="8" t="s">
        <v>347</v>
      </c>
      <c r="B340" s="3">
        <v>359</v>
      </c>
      <c r="C340" s="3">
        <v>11945.19</v>
      </c>
      <c r="D340" s="3">
        <v>2</v>
      </c>
      <c r="E340" s="3">
        <v>49.5</v>
      </c>
      <c r="F340" s="3">
        <v>357</v>
      </c>
      <c r="G340" s="3">
        <v>11895.69</v>
      </c>
      <c r="H340" s="3">
        <v>33.32</v>
      </c>
      <c r="I340" s="3" t="str">
        <f t="shared" si="1"/>
        <v>06/yyyy</v>
      </c>
      <c r="J340" s="3"/>
      <c r="K340" s="3"/>
      <c r="L340" s="3"/>
      <c r="M340" s="3"/>
      <c r="N340" s="3"/>
      <c r="O340" s="3"/>
      <c r="P340" s="3"/>
      <c r="Q340" s="3"/>
      <c r="R340" s="3"/>
      <c r="S340" s="3"/>
      <c r="T340" s="3"/>
      <c r="U340" s="3"/>
      <c r="V340" s="3"/>
      <c r="W340" s="3"/>
      <c r="X340" s="3"/>
      <c r="Y340" s="3"/>
      <c r="Z340" s="3"/>
    </row>
    <row r="341" spans="1:26">
      <c r="A341" s="8" t="s">
        <v>348</v>
      </c>
      <c r="B341" s="3">
        <v>270</v>
      </c>
      <c r="C341" s="3">
        <v>8898.17</v>
      </c>
      <c r="D341" s="3">
        <v>0</v>
      </c>
      <c r="E341" s="3">
        <v>0</v>
      </c>
      <c r="F341" s="3">
        <v>270</v>
      </c>
      <c r="G341" s="3">
        <v>8898.17</v>
      </c>
      <c r="H341" s="3">
        <v>32.96</v>
      </c>
      <c r="I341" s="3" t="str">
        <f t="shared" si="1"/>
        <v>06/yyyy</v>
      </c>
      <c r="J341" s="3"/>
      <c r="K341" s="3"/>
      <c r="L341" s="3"/>
      <c r="M341" s="3"/>
      <c r="N341" s="3"/>
      <c r="O341" s="3"/>
      <c r="P341" s="3"/>
      <c r="Q341" s="3"/>
      <c r="R341" s="3"/>
      <c r="S341" s="3"/>
      <c r="T341" s="3"/>
      <c r="U341" s="3"/>
      <c r="V341" s="3"/>
      <c r="W341" s="3"/>
      <c r="X341" s="3"/>
      <c r="Y341" s="3"/>
      <c r="Z341" s="3"/>
    </row>
    <row r="342" spans="1:26">
      <c r="A342" s="8" t="s">
        <v>349</v>
      </c>
      <c r="B342" s="3">
        <v>401</v>
      </c>
      <c r="C342" s="3">
        <v>14163.62</v>
      </c>
      <c r="D342" s="3">
        <v>2</v>
      </c>
      <c r="E342" s="3">
        <v>152.99</v>
      </c>
      <c r="F342" s="3">
        <v>399</v>
      </c>
      <c r="G342" s="3">
        <v>14010.63</v>
      </c>
      <c r="H342" s="3">
        <v>35.11</v>
      </c>
      <c r="I342" s="3" t="str">
        <f t="shared" si="1"/>
        <v>06/yyyy</v>
      </c>
      <c r="J342" s="3"/>
      <c r="K342" s="3"/>
      <c r="L342" s="3"/>
      <c r="M342" s="3"/>
      <c r="N342" s="3"/>
      <c r="O342" s="3"/>
      <c r="P342" s="3"/>
      <c r="Q342" s="3"/>
      <c r="R342" s="3"/>
      <c r="S342" s="3"/>
      <c r="T342" s="3"/>
      <c r="U342" s="3"/>
      <c r="V342" s="3"/>
      <c r="W342" s="3"/>
      <c r="X342" s="3"/>
      <c r="Y342" s="3"/>
      <c r="Z342" s="3"/>
    </row>
    <row r="343" spans="1:26">
      <c r="A343" s="8" t="s">
        <v>350</v>
      </c>
      <c r="B343" s="3">
        <v>240</v>
      </c>
      <c r="C343" s="3">
        <v>9842.89</v>
      </c>
      <c r="D343" s="3">
        <v>2</v>
      </c>
      <c r="E343" s="3">
        <v>86</v>
      </c>
      <c r="F343" s="3">
        <v>238</v>
      </c>
      <c r="G343" s="3">
        <v>9756.89</v>
      </c>
      <c r="H343" s="3">
        <v>41</v>
      </c>
      <c r="I343" s="3" t="str">
        <f t="shared" si="1"/>
        <v>06/yyyy</v>
      </c>
      <c r="J343" s="3"/>
      <c r="K343" s="3"/>
      <c r="L343" s="3"/>
      <c r="M343" s="3"/>
      <c r="N343" s="3"/>
      <c r="O343" s="3"/>
      <c r="P343" s="3"/>
      <c r="Q343" s="3"/>
      <c r="R343" s="3"/>
      <c r="S343" s="3"/>
      <c r="T343" s="3"/>
      <c r="U343" s="3"/>
      <c r="V343" s="3"/>
      <c r="W343" s="3"/>
      <c r="X343" s="3"/>
      <c r="Y343" s="3"/>
      <c r="Z343" s="3"/>
    </row>
    <row r="344" spans="1:26">
      <c r="A344" s="8" t="s">
        <v>351</v>
      </c>
      <c r="B344" s="3">
        <v>298</v>
      </c>
      <c r="C344" s="3">
        <v>10155.65</v>
      </c>
      <c r="D344" s="3">
        <v>0</v>
      </c>
      <c r="E344" s="3">
        <v>0</v>
      </c>
      <c r="F344" s="3">
        <v>298</v>
      </c>
      <c r="G344" s="3">
        <v>10155.65</v>
      </c>
      <c r="H344" s="3">
        <v>34.08</v>
      </c>
      <c r="I344" s="3" t="str">
        <f t="shared" si="1"/>
        <v>06/yyyy</v>
      </c>
      <c r="J344" s="3"/>
      <c r="K344" s="3"/>
      <c r="L344" s="3"/>
      <c r="M344" s="3"/>
      <c r="N344" s="3"/>
      <c r="O344" s="3"/>
      <c r="P344" s="3"/>
      <c r="Q344" s="3"/>
      <c r="R344" s="3"/>
      <c r="S344" s="3"/>
      <c r="T344" s="3"/>
      <c r="U344" s="3"/>
      <c r="V344" s="3"/>
      <c r="W344" s="3"/>
      <c r="X344" s="3"/>
      <c r="Y344" s="3"/>
      <c r="Z344" s="3"/>
    </row>
    <row r="345" spans="1:26">
      <c r="A345" s="8" t="s">
        <v>352</v>
      </c>
      <c r="B345" s="3">
        <v>228</v>
      </c>
      <c r="C345" s="3">
        <v>7292</v>
      </c>
      <c r="D345" s="3">
        <v>1</v>
      </c>
      <c r="E345" s="3">
        <v>5</v>
      </c>
      <c r="F345" s="3">
        <v>227</v>
      </c>
      <c r="G345" s="3">
        <v>7287</v>
      </c>
      <c r="H345" s="3">
        <v>32.1</v>
      </c>
      <c r="I345" s="3" t="str">
        <f t="shared" si="1"/>
        <v>06/yyyy</v>
      </c>
      <c r="J345" s="3"/>
      <c r="K345" s="3"/>
      <c r="L345" s="3"/>
      <c r="M345" s="3"/>
      <c r="N345" s="3"/>
      <c r="O345" s="3"/>
      <c r="P345" s="3"/>
      <c r="Q345" s="3"/>
      <c r="R345" s="3"/>
      <c r="S345" s="3"/>
      <c r="T345" s="3"/>
      <c r="U345" s="3"/>
      <c r="V345" s="3"/>
      <c r="W345" s="3"/>
      <c r="X345" s="3"/>
      <c r="Y345" s="3"/>
      <c r="Z345" s="3"/>
    </row>
    <row r="346" spans="1:26">
      <c r="A346" s="8" t="s">
        <v>353</v>
      </c>
      <c r="B346" s="3">
        <v>252</v>
      </c>
      <c r="C346" s="3">
        <v>8161.21</v>
      </c>
      <c r="D346" s="3">
        <v>1</v>
      </c>
      <c r="E346" s="3">
        <v>105</v>
      </c>
      <c r="F346" s="3">
        <v>251</v>
      </c>
      <c r="G346" s="3">
        <v>8056.21</v>
      </c>
      <c r="H346" s="3">
        <v>32.1</v>
      </c>
      <c r="I346" s="3" t="str">
        <f t="shared" si="1"/>
        <v>06/yyyy</v>
      </c>
      <c r="J346" s="3"/>
      <c r="K346" s="3"/>
      <c r="L346" s="3"/>
      <c r="M346" s="3"/>
      <c r="N346" s="3"/>
      <c r="O346" s="3"/>
      <c r="P346" s="3"/>
      <c r="Q346" s="3"/>
      <c r="R346" s="3"/>
      <c r="S346" s="3"/>
      <c r="T346" s="3"/>
      <c r="U346" s="3"/>
      <c r="V346" s="3"/>
      <c r="W346" s="3"/>
      <c r="X346" s="3"/>
      <c r="Y346" s="3"/>
      <c r="Z346" s="3"/>
    </row>
    <row r="347" spans="1:26">
      <c r="A347" s="8" t="s">
        <v>354</v>
      </c>
      <c r="B347" s="3">
        <v>236</v>
      </c>
      <c r="C347" s="3">
        <v>7430.95</v>
      </c>
      <c r="D347" s="3">
        <v>2</v>
      </c>
      <c r="E347" s="3">
        <v>25</v>
      </c>
      <c r="F347" s="3">
        <v>234</v>
      </c>
      <c r="G347" s="3">
        <v>7405.95</v>
      </c>
      <c r="H347" s="3">
        <v>31.65</v>
      </c>
      <c r="I347" s="3" t="str">
        <f t="shared" si="1"/>
        <v>06/yyyy</v>
      </c>
      <c r="J347" s="3"/>
      <c r="K347" s="3"/>
      <c r="L347" s="3"/>
      <c r="M347" s="3"/>
      <c r="N347" s="3"/>
      <c r="O347" s="3"/>
      <c r="P347" s="3"/>
      <c r="Q347" s="3"/>
      <c r="R347" s="3"/>
      <c r="S347" s="3"/>
      <c r="T347" s="3"/>
      <c r="U347" s="3"/>
      <c r="V347" s="3"/>
      <c r="W347" s="3"/>
      <c r="X347" s="3"/>
      <c r="Y347" s="3"/>
      <c r="Z347" s="3"/>
    </row>
    <row r="348" spans="1:26">
      <c r="A348" s="8" t="s">
        <v>355</v>
      </c>
      <c r="B348" s="3">
        <v>304</v>
      </c>
      <c r="C348" s="3">
        <v>11459.08</v>
      </c>
      <c r="D348" s="3">
        <v>3</v>
      </c>
      <c r="E348" s="3">
        <v>92</v>
      </c>
      <c r="F348" s="3">
        <v>301</v>
      </c>
      <c r="G348" s="3">
        <v>11367.08</v>
      </c>
      <c r="H348" s="3">
        <v>37.76</v>
      </c>
      <c r="I348" s="3" t="str">
        <f t="shared" si="1"/>
        <v>06/yyyy</v>
      </c>
      <c r="J348" s="3"/>
      <c r="K348" s="3"/>
      <c r="L348" s="3"/>
      <c r="M348" s="3"/>
      <c r="N348" s="3"/>
      <c r="O348" s="3"/>
      <c r="P348" s="3"/>
      <c r="Q348" s="3"/>
      <c r="R348" s="3"/>
      <c r="S348" s="3"/>
      <c r="T348" s="3"/>
      <c r="U348" s="3"/>
      <c r="V348" s="3"/>
      <c r="W348" s="3"/>
      <c r="X348" s="3"/>
      <c r="Y348" s="3"/>
      <c r="Z348" s="3"/>
    </row>
    <row r="349" spans="1:26">
      <c r="A349" s="8" t="s">
        <v>356</v>
      </c>
      <c r="B349" s="3">
        <v>405</v>
      </c>
      <c r="C349" s="3">
        <v>16299.11</v>
      </c>
      <c r="D349" s="3">
        <v>2</v>
      </c>
      <c r="E349" s="3">
        <v>182</v>
      </c>
      <c r="F349" s="3">
        <v>403</v>
      </c>
      <c r="G349" s="3">
        <v>16117.11</v>
      </c>
      <c r="H349" s="3">
        <v>39.99</v>
      </c>
      <c r="I349" s="3" t="str">
        <f t="shared" si="1"/>
        <v>06/yyyy</v>
      </c>
      <c r="J349" s="3"/>
      <c r="K349" s="3"/>
      <c r="L349" s="3"/>
      <c r="M349" s="3"/>
      <c r="N349" s="3"/>
      <c r="O349" s="3"/>
      <c r="P349" s="3"/>
      <c r="Q349" s="3"/>
      <c r="R349" s="3"/>
      <c r="S349" s="3"/>
      <c r="T349" s="3"/>
      <c r="U349" s="3"/>
      <c r="V349" s="3"/>
      <c r="W349" s="3"/>
      <c r="X349" s="3"/>
      <c r="Y349" s="3"/>
      <c r="Z349" s="3"/>
    </row>
    <row r="350" spans="1:26">
      <c r="A350" s="8" t="s">
        <v>357</v>
      </c>
      <c r="B350" s="3">
        <v>300</v>
      </c>
      <c r="C350" s="3">
        <v>11590.04</v>
      </c>
      <c r="D350" s="3">
        <v>5</v>
      </c>
      <c r="E350" s="3">
        <v>379.1</v>
      </c>
      <c r="F350" s="3">
        <v>295</v>
      </c>
      <c r="G350" s="3">
        <v>11210.94</v>
      </c>
      <c r="H350" s="3">
        <v>38</v>
      </c>
      <c r="I350" s="3" t="str">
        <f t="shared" si="1"/>
        <v>06/yyyy</v>
      </c>
      <c r="J350" s="3"/>
      <c r="K350" s="3"/>
      <c r="L350" s="3"/>
      <c r="M350" s="3"/>
      <c r="N350" s="3"/>
      <c r="O350" s="3"/>
      <c r="P350" s="3"/>
      <c r="Q350" s="3"/>
      <c r="R350" s="3"/>
      <c r="S350" s="3"/>
      <c r="T350" s="3"/>
      <c r="U350" s="3"/>
      <c r="V350" s="3"/>
      <c r="W350" s="3"/>
      <c r="X350" s="3"/>
      <c r="Y350" s="3"/>
      <c r="Z350" s="3"/>
    </row>
    <row r="351" spans="1:26">
      <c r="A351" s="8" t="s">
        <v>358</v>
      </c>
      <c r="B351" s="3">
        <v>279</v>
      </c>
      <c r="C351" s="3">
        <v>8295.7999999999993</v>
      </c>
      <c r="D351" s="3">
        <v>2</v>
      </c>
      <c r="E351" s="3">
        <v>44.3</v>
      </c>
      <c r="F351" s="3">
        <v>277</v>
      </c>
      <c r="G351" s="3">
        <v>8251.5</v>
      </c>
      <c r="H351" s="3">
        <v>29.79</v>
      </c>
      <c r="I351" s="3" t="str">
        <f t="shared" si="1"/>
        <v>06/yyyy</v>
      </c>
      <c r="J351" s="3"/>
      <c r="K351" s="3"/>
      <c r="L351" s="3"/>
      <c r="M351" s="3"/>
      <c r="N351" s="3"/>
      <c r="O351" s="3"/>
      <c r="P351" s="3"/>
      <c r="Q351" s="3"/>
      <c r="R351" s="3"/>
      <c r="S351" s="3"/>
      <c r="T351" s="3"/>
      <c r="U351" s="3"/>
      <c r="V351" s="3"/>
      <c r="W351" s="3"/>
      <c r="X351" s="3"/>
      <c r="Y351" s="3"/>
      <c r="Z351" s="3"/>
    </row>
    <row r="352" spans="1:26">
      <c r="A352" s="8" t="s">
        <v>359</v>
      </c>
      <c r="B352" s="3">
        <v>259</v>
      </c>
      <c r="C352" s="3">
        <v>8582.7000000000007</v>
      </c>
      <c r="D352" s="3">
        <v>1</v>
      </c>
      <c r="E352" s="3">
        <v>65</v>
      </c>
      <c r="F352" s="3">
        <v>258</v>
      </c>
      <c r="G352" s="3">
        <v>8517.7000000000007</v>
      </c>
      <c r="H352" s="3">
        <v>33.01</v>
      </c>
      <c r="I352" s="3" t="str">
        <f t="shared" si="1"/>
        <v>06/yyyy</v>
      </c>
      <c r="J352" s="3"/>
      <c r="K352" s="3"/>
      <c r="L352" s="3"/>
      <c r="M352" s="3"/>
      <c r="N352" s="3"/>
      <c r="O352" s="3"/>
      <c r="P352" s="3"/>
      <c r="Q352" s="3"/>
      <c r="R352" s="3"/>
      <c r="S352" s="3"/>
      <c r="T352" s="3"/>
      <c r="U352" s="3"/>
      <c r="V352" s="3"/>
      <c r="W352" s="3"/>
      <c r="X352" s="3"/>
      <c r="Y352" s="3"/>
      <c r="Z352" s="3"/>
    </row>
    <row r="353" spans="1:26">
      <c r="A353" s="8" t="s">
        <v>360</v>
      </c>
      <c r="B353" s="3">
        <v>235</v>
      </c>
      <c r="C353" s="3">
        <v>6784.76</v>
      </c>
      <c r="D353" s="3">
        <v>0</v>
      </c>
      <c r="E353" s="3">
        <v>0</v>
      </c>
      <c r="F353" s="3">
        <v>235</v>
      </c>
      <c r="G353" s="3">
        <v>6784.76</v>
      </c>
      <c r="H353" s="3">
        <v>28.87</v>
      </c>
      <c r="I353" s="3" t="str">
        <f t="shared" si="1"/>
        <v>06/yyyy</v>
      </c>
      <c r="J353" s="3"/>
      <c r="K353" s="3"/>
      <c r="L353" s="3"/>
      <c r="M353" s="3"/>
      <c r="N353" s="3"/>
      <c r="O353" s="3"/>
      <c r="P353" s="3"/>
      <c r="Q353" s="3"/>
      <c r="R353" s="3"/>
      <c r="S353" s="3"/>
      <c r="T353" s="3"/>
      <c r="U353" s="3"/>
      <c r="V353" s="3"/>
      <c r="W353" s="3"/>
      <c r="X353" s="3"/>
      <c r="Y353" s="3"/>
      <c r="Z353" s="3"/>
    </row>
    <row r="354" spans="1:26">
      <c r="A354" s="8" t="s">
        <v>361</v>
      </c>
      <c r="B354" s="3">
        <v>268</v>
      </c>
      <c r="C354" s="3">
        <v>9280.73</v>
      </c>
      <c r="D354" s="3">
        <v>2</v>
      </c>
      <c r="E354" s="3">
        <v>62</v>
      </c>
      <c r="F354" s="3">
        <v>266</v>
      </c>
      <c r="G354" s="3">
        <v>9218.73</v>
      </c>
      <c r="H354" s="3">
        <v>34.659999999999997</v>
      </c>
      <c r="I354" s="3" t="str">
        <f t="shared" si="1"/>
        <v>06/yyyy</v>
      </c>
      <c r="J354" s="3"/>
      <c r="K354" s="3"/>
      <c r="L354" s="3"/>
      <c r="M354" s="3"/>
      <c r="N354" s="3"/>
      <c r="O354" s="3"/>
      <c r="P354" s="3"/>
      <c r="Q354" s="3"/>
      <c r="R354" s="3"/>
      <c r="S354" s="3"/>
      <c r="T354" s="3"/>
      <c r="U354" s="3"/>
      <c r="V354" s="3"/>
      <c r="W354" s="3"/>
      <c r="X354" s="3"/>
      <c r="Y354" s="3"/>
      <c r="Z354" s="3"/>
    </row>
    <row r="355" spans="1:26">
      <c r="A355" s="8" t="s">
        <v>362</v>
      </c>
      <c r="B355" s="3">
        <v>314</v>
      </c>
      <c r="C355" s="3">
        <v>12571.21</v>
      </c>
      <c r="D355" s="3">
        <v>0</v>
      </c>
      <c r="E355" s="3">
        <v>0</v>
      </c>
      <c r="F355" s="3">
        <v>314</v>
      </c>
      <c r="G355" s="3">
        <v>12571.21</v>
      </c>
      <c r="H355" s="3">
        <v>40.04</v>
      </c>
      <c r="I355" s="3" t="str">
        <f t="shared" si="1"/>
        <v>06/yyyy</v>
      </c>
      <c r="J355" s="3"/>
      <c r="K355" s="3"/>
      <c r="L355" s="3"/>
      <c r="M355" s="3"/>
      <c r="N355" s="3"/>
      <c r="O355" s="3"/>
      <c r="P355" s="3"/>
      <c r="Q355" s="3"/>
      <c r="R355" s="3"/>
      <c r="S355" s="3"/>
      <c r="T355" s="3"/>
      <c r="U355" s="3"/>
      <c r="V355" s="3"/>
      <c r="W355" s="3"/>
      <c r="X355" s="3"/>
      <c r="Y355" s="3"/>
      <c r="Z355" s="3"/>
    </row>
    <row r="356" spans="1:26">
      <c r="A356" s="8" t="s">
        <v>363</v>
      </c>
      <c r="B356" s="3">
        <v>434</v>
      </c>
      <c r="C356" s="3">
        <v>16920.5</v>
      </c>
      <c r="D356" s="3">
        <v>1</v>
      </c>
      <c r="E356" s="3">
        <v>75.5</v>
      </c>
      <c r="F356" s="3">
        <v>433</v>
      </c>
      <c r="G356" s="3">
        <v>16845</v>
      </c>
      <c r="H356" s="3">
        <v>38.9</v>
      </c>
      <c r="I356" s="3" t="str">
        <f t="shared" si="1"/>
        <v>06/yyyy</v>
      </c>
      <c r="J356" s="3"/>
      <c r="K356" s="3"/>
      <c r="L356" s="3"/>
      <c r="M356" s="3"/>
      <c r="N356" s="3"/>
      <c r="O356" s="3"/>
      <c r="P356" s="3"/>
      <c r="Q356" s="3"/>
      <c r="R356" s="3"/>
      <c r="S356" s="3"/>
      <c r="T356" s="3"/>
      <c r="U356" s="3"/>
      <c r="V356" s="3"/>
      <c r="W356" s="3"/>
      <c r="X356" s="3"/>
      <c r="Y356" s="3"/>
      <c r="Z356" s="3"/>
    </row>
    <row r="357" spans="1:26">
      <c r="A357" s="8" t="s">
        <v>364</v>
      </c>
      <c r="B357" s="3">
        <v>257</v>
      </c>
      <c r="C357" s="3">
        <v>9574.7000000000007</v>
      </c>
      <c r="D357" s="3">
        <v>0</v>
      </c>
      <c r="E357" s="3">
        <v>0</v>
      </c>
      <c r="F357" s="3">
        <v>257</v>
      </c>
      <c r="G357" s="3">
        <v>9574.7000000000007</v>
      </c>
      <c r="H357" s="3">
        <v>37.26</v>
      </c>
      <c r="I357" s="3" t="str">
        <f t="shared" si="1"/>
        <v>06/yyyy</v>
      </c>
      <c r="J357" s="3"/>
      <c r="K357" s="3"/>
      <c r="L357" s="3"/>
      <c r="M357" s="3"/>
      <c r="N357" s="3"/>
      <c r="O357" s="3"/>
      <c r="P357" s="3"/>
      <c r="Q357" s="3"/>
      <c r="R357" s="3"/>
      <c r="S357" s="3"/>
      <c r="T357" s="3"/>
      <c r="U357" s="3"/>
      <c r="V357" s="3"/>
      <c r="W357" s="3"/>
      <c r="X357" s="3"/>
      <c r="Y357" s="3"/>
      <c r="Z357" s="3"/>
    </row>
    <row r="358" spans="1:26">
      <c r="A358" s="8" t="s">
        <v>365</v>
      </c>
      <c r="B358" s="3">
        <v>274</v>
      </c>
      <c r="C358" s="3">
        <v>7966.87</v>
      </c>
      <c r="D358" s="3">
        <v>3</v>
      </c>
      <c r="E358" s="3">
        <v>104.5</v>
      </c>
      <c r="F358" s="3">
        <v>271</v>
      </c>
      <c r="G358" s="3">
        <v>7862.37</v>
      </c>
      <c r="H358" s="3">
        <v>29.01</v>
      </c>
      <c r="I358" s="3" t="str">
        <f t="shared" si="1"/>
        <v>06/yyyy</v>
      </c>
      <c r="J358" s="3"/>
      <c r="K358" s="3"/>
      <c r="L358" s="3"/>
      <c r="M358" s="3"/>
      <c r="N358" s="3"/>
      <c r="O358" s="3"/>
      <c r="P358" s="3"/>
      <c r="Q358" s="3"/>
      <c r="R358" s="3"/>
      <c r="S358" s="3"/>
      <c r="T358" s="3"/>
      <c r="U358" s="3"/>
      <c r="V358" s="3"/>
      <c r="W358" s="3"/>
      <c r="X358" s="3"/>
      <c r="Y358" s="3"/>
      <c r="Z358" s="3"/>
    </row>
    <row r="359" spans="1:26">
      <c r="A359" s="8" t="s">
        <v>366</v>
      </c>
      <c r="B359" s="3">
        <v>237</v>
      </c>
      <c r="C359" s="3">
        <v>8628.74</v>
      </c>
      <c r="D359" s="3">
        <v>1</v>
      </c>
      <c r="E359" s="3">
        <v>32.5</v>
      </c>
      <c r="F359" s="3">
        <v>236</v>
      </c>
      <c r="G359" s="3">
        <v>8596.24</v>
      </c>
      <c r="H359" s="3">
        <v>36.42</v>
      </c>
      <c r="I359" s="3" t="str">
        <f t="shared" si="1"/>
        <v>06/yyyy</v>
      </c>
      <c r="J359" s="3"/>
      <c r="K359" s="3"/>
      <c r="L359" s="3"/>
      <c r="M359" s="3"/>
      <c r="N359" s="3"/>
      <c r="O359" s="3"/>
      <c r="P359" s="3"/>
      <c r="Q359" s="3"/>
      <c r="R359" s="3"/>
      <c r="S359" s="3"/>
      <c r="T359" s="3"/>
      <c r="U359" s="3"/>
      <c r="V359" s="3"/>
      <c r="W359" s="3"/>
      <c r="X359" s="3"/>
      <c r="Y359" s="3"/>
      <c r="Z359" s="3"/>
    </row>
    <row r="360" spans="1:26">
      <c r="A360" s="8" t="s">
        <v>367</v>
      </c>
      <c r="B360" s="3">
        <v>258</v>
      </c>
      <c r="C360" s="3">
        <v>9960.66</v>
      </c>
      <c r="D360" s="3">
        <v>2</v>
      </c>
      <c r="E360" s="3">
        <v>119.95</v>
      </c>
      <c r="F360" s="3">
        <v>256</v>
      </c>
      <c r="G360" s="3">
        <v>9840.7099999999991</v>
      </c>
      <c r="H360" s="3">
        <v>38.44</v>
      </c>
      <c r="I360" s="3" t="str">
        <f t="shared" si="1"/>
        <v>06/yyyy</v>
      </c>
      <c r="J360" s="3"/>
      <c r="K360" s="3"/>
      <c r="L360" s="3"/>
      <c r="M360" s="3"/>
      <c r="N360" s="3"/>
      <c r="O360" s="3"/>
      <c r="P360" s="3"/>
      <c r="Q360" s="3"/>
      <c r="R360" s="3"/>
      <c r="S360" s="3"/>
      <c r="T360" s="3"/>
      <c r="U360" s="3"/>
      <c r="V360" s="3"/>
      <c r="W360" s="3"/>
      <c r="X360" s="3"/>
      <c r="Y360" s="3"/>
      <c r="Z360" s="3"/>
    </row>
    <row r="361" spans="1:26">
      <c r="A361" s="8" t="s">
        <v>368</v>
      </c>
      <c r="B361" s="3">
        <v>233</v>
      </c>
      <c r="C361" s="3">
        <v>8186.13</v>
      </c>
      <c r="D361" s="3">
        <v>2</v>
      </c>
      <c r="E361" s="3">
        <v>194</v>
      </c>
      <c r="F361" s="3">
        <v>231</v>
      </c>
      <c r="G361" s="3">
        <v>7992.13</v>
      </c>
      <c r="H361" s="3">
        <v>34.6</v>
      </c>
      <c r="I361" s="3" t="str">
        <f t="shared" si="1"/>
        <v>06/yyyy</v>
      </c>
      <c r="J361" s="3"/>
      <c r="K361" s="3"/>
      <c r="L361" s="3"/>
      <c r="M361" s="3"/>
      <c r="N361" s="3"/>
      <c r="O361" s="3"/>
      <c r="P361" s="3"/>
      <c r="Q361" s="3"/>
      <c r="R361" s="3"/>
      <c r="S361" s="3"/>
      <c r="T361" s="3"/>
      <c r="U361" s="3"/>
      <c r="V361" s="3"/>
      <c r="W361" s="3"/>
      <c r="X361" s="3"/>
      <c r="Y361" s="3"/>
      <c r="Z361" s="3"/>
    </row>
    <row r="362" spans="1:26">
      <c r="A362" s="8" t="s">
        <v>369</v>
      </c>
      <c r="B362" s="3">
        <v>305</v>
      </c>
      <c r="C362" s="3">
        <v>13917.45</v>
      </c>
      <c r="D362" s="3">
        <v>2</v>
      </c>
      <c r="E362" s="3">
        <v>67.5</v>
      </c>
      <c r="F362" s="3">
        <v>303</v>
      </c>
      <c r="G362" s="3">
        <v>13849.95</v>
      </c>
      <c r="H362" s="3">
        <v>45.71</v>
      </c>
      <c r="I362" s="3" t="str">
        <f t="shared" si="1"/>
        <v>06/yyyy</v>
      </c>
      <c r="J362" s="3"/>
      <c r="K362" s="3"/>
      <c r="L362" s="3"/>
      <c r="M362" s="3"/>
      <c r="N362" s="3"/>
      <c r="O362" s="3"/>
      <c r="P362" s="3"/>
      <c r="Q362" s="3"/>
      <c r="R362" s="3"/>
      <c r="S362" s="3"/>
      <c r="T362" s="3"/>
      <c r="U362" s="3"/>
      <c r="V362" s="3"/>
      <c r="W362" s="3"/>
      <c r="X362" s="3"/>
      <c r="Y362" s="3"/>
      <c r="Z362" s="3"/>
    </row>
    <row r="363" spans="1:26">
      <c r="A363" s="8" t="s">
        <v>370</v>
      </c>
      <c r="B363" s="3">
        <v>405</v>
      </c>
      <c r="C363" s="3">
        <v>14161.12</v>
      </c>
      <c r="D363" s="3">
        <v>4</v>
      </c>
      <c r="E363" s="3">
        <v>398.5</v>
      </c>
      <c r="F363" s="3">
        <v>401</v>
      </c>
      <c r="G363" s="3">
        <v>14762.62</v>
      </c>
      <c r="H363" s="3">
        <v>36.81</v>
      </c>
      <c r="I363" s="3" t="str">
        <f t="shared" si="1"/>
        <v>06/yyyy</v>
      </c>
      <c r="J363" s="3"/>
      <c r="K363" s="3"/>
      <c r="L363" s="3"/>
      <c r="M363" s="3"/>
      <c r="N363" s="3"/>
      <c r="O363" s="3"/>
      <c r="P363" s="3"/>
      <c r="Q363" s="3"/>
      <c r="R363" s="3"/>
      <c r="S363" s="3"/>
      <c r="T363" s="3"/>
      <c r="U363" s="3"/>
      <c r="V363" s="3"/>
      <c r="W363" s="3"/>
      <c r="X363" s="3"/>
      <c r="Y363" s="3"/>
      <c r="Z363" s="3"/>
    </row>
    <row r="364" spans="1:26">
      <c r="A364" s="8" t="s">
        <v>371</v>
      </c>
      <c r="B364" s="3">
        <v>232</v>
      </c>
      <c r="C364" s="3">
        <v>8925.61</v>
      </c>
      <c r="D364" s="3">
        <v>2</v>
      </c>
      <c r="E364" s="3">
        <v>144.99</v>
      </c>
      <c r="F364" s="3">
        <v>230</v>
      </c>
      <c r="G364" s="3">
        <v>8780.6200000000008</v>
      </c>
      <c r="H364" s="3">
        <v>38.18</v>
      </c>
      <c r="I364" s="3" t="str">
        <f t="shared" si="1"/>
        <v>06/yyyy</v>
      </c>
      <c r="J364" s="3"/>
      <c r="K364" s="3"/>
      <c r="L364" s="3"/>
      <c r="M364" s="3"/>
      <c r="N364" s="3"/>
      <c r="O364" s="3"/>
      <c r="P364" s="3"/>
      <c r="Q364" s="3"/>
      <c r="R364" s="3"/>
      <c r="S364" s="3"/>
      <c r="T364" s="3"/>
      <c r="U364" s="3"/>
      <c r="V364" s="3"/>
      <c r="W364" s="3"/>
      <c r="X364" s="3"/>
      <c r="Y364" s="3"/>
      <c r="Z364" s="3"/>
    </row>
    <row r="365" spans="1:26">
      <c r="A365" s="8" t="s">
        <v>372</v>
      </c>
      <c r="B365" s="3">
        <v>287</v>
      </c>
      <c r="C365" s="3">
        <v>13422.11</v>
      </c>
      <c r="D365" s="3">
        <v>1</v>
      </c>
      <c r="E365" s="3">
        <v>24</v>
      </c>
      <c r="F365" s="3">
        <v>286</v>
      </c>
      <c r="G365" s="3">
        <v>13398.11</v>
      </c>
      <c r="H365" s="3">
        <v>46.85</v>
      </c>
      <c r="I365" s="3" t="str">
        <f t="shared" si="1"/>
        <v>06/yyyy</v>
      </c>
      <c r="J365" s="3"/>
      <c r="K365" s="3"/>
      <c r="L365" s="3"/>
      <c r="M365" s="3"/>
      <c r="N365" s="3"/>
      <c r="O365" s="3"/>
      <c r="P365" s="3"/>
      <c r="Q365" s="3"/>
      <c r="R365" s="3"/>
      <c r="S365" s="3"/>
      <c r="T365" s="3"/>
      <c r="U365" s="3"/>
      <c r="V365" s="3"/>
      <c r="W365" s="3"/>
      <c r="X365" s="3"/>
      <c r="Y365" s="3"/>
      <c r="Z365" s="3"/>
    </row>
    <row r="366" spans="1:26">
      <c r="A366" s="8" t="s">
        <v>373</v>
      </c>
      <c r="B366" s="3">
        <v>268</v>
      </c>
      <c r="C366" s="3">
        <v>10792.45</v>
      </c>
      <c r="D366" s="3">
        <v>0</v>
      </c>
      <c r="E366" s="3">
        <v>0</v>
      </c>
      <c r="F366" s="3">
        <v>268</v>
      </c>
      <c r="G366" s="3">
        <v>10792.45</v>
      </c>
      <c r="H366" s="3">
        <v>40.270000000000003</v>
      </c>
      <c r="I366" s="3" t="str">
        <f t="shared" si="1"/>
        <v>06/yyyy</v>
      </c>
      <c r="J366" s="3"/>
      <c r="K366" s="3"/>
      <c r="L366" s="3"/>
      <c r="M366" s="3"/>
      <c r="N366" s="3"/>
      <c r="O366" s="3"/>
      <c r="P366" s="3"/>
      <c r="Q366" s="3"/>
      <c r="R366" s="3"/>
      <c r="S366" s="3"/>
      <c r="T366" s="3"/>
      <c r="U366" s="3"/>
      <c r="V366" s="3"/>
      <c r="W366" s="3"/>
      <c r="X366" s="3"/>
      <c r="Y366" s="3"/>
      <c r="Z366" s="3"/>
    </row>
    <row r="367" spans="1:26">
      <c r="A367" s="8" t="s">
        <v>374</v>
      </c>
      <c r="B367" s="3">
        <v>295</v>
      </c>
      <c r="C367" s="3">
        <v>10930.77</v>
      </c>
      <c r="D367" s="3">
        <v>2</v>
      </c>
      <c r="E367" s="3">
        <v>79</v>
      </c>
      <c r="F367" s="3">
        <v>293</v>
      </c>
      <c r="G367" s="3">
        <v>10851.77</v>
      </c>
      <c r="H367" s="3">
        <v>37.04</v>
      </c>
      <c r="I367" s="3" t="str">
        <f t="shared" si="1"/>
        <v>07/yyyy</v>
      </c>
      <c r="J367" s="3"/>
      <c r="K367" s="3"/>
      <c r="L367" s="3"/>
      <c r="M367" s="3"/>
      <c r="N367" s="3"/>
      <c r="O367" s="3"/>
      <c r="P367" s="3"/>
      <c r="Q367" s="3"/>
      <c r="R367" s="3"/>
      <c r="S367" s="3"/>
      <c r="T367" s="3"/>
      <c r="U367" s="3"/>
      <c r="V367" s="3"/>
      <c r="W367" s="3"/>
      <c r="X367" s="3"/>
      <c r="Y367" s="3"/>
      <c r="Z367" s="3"/>
    </row>
    <row r="368" spans="1:26">
      <c r="A368" s="8" t="s">
        <v>375</v>
      </c>
      <c r="B368" s="3">
        <v>277</v>
      </c>
      <c r="C368" s="3">
        <v>9965.6</v>
      </c>
      <c r="D368" s="3">
        <v>0</v>
      </c>
      <c r="E368" s="3">
        <v>0</v>
      </c>
      <c r="F368" s="3">
        <v>277</v>
      </c>
      <c r="G368" s="3">
        <v>9965.6</v>
      </c>
      <c r="H368" s="3">
        <v>35.979999999999997</v>
      </c>
      <c r="I368" s="3" t="str">
        <f t="shared" si="1"/>
        <v>07/yyyy</v>
      </c>
      <c r="J368" s="3"/>
      <c r="K368" s="3"/>
      <c r="L368" s="3"/>
      <c r="M368" s="3"/>
      <c r="N368" s="3"/>
      <c r="O368" s="3"/>
      <c r="P368" s="3"/>
      <c r="Q368" s="3"/>
      <c r="R368" s="3"/>
      <c r="S368" s="3"/>
      <c r="T368" s="3"/>
      <c r="U368" s="3"/>
      <c r="V368" s="3"/>
      <c r="W368" s="3"/>
      <c r="X368" s="3"/>
      <c r="Y368" s="3"/>
      <c r="Z368" s="3"/>
    </row>
    <row r="369" spans="1:26">
      <c r="A369" s="8" t="s">
        <v>376</v>
      </c>
      <c r="B369" s="3">
        <v>293</v>
      </c>
      <c r="C369" s="3">
        <v>10527.17</v>
      </c>
      <c r="D369" s="3">
        <v>0</v>
      </c>
      <c r="E369" s="3">
        <v>0</v>
      </c>
      <c r="F369" s="3">
        <v>293</v>
      </c>
      <c r="G369" s="3">
        <v>10527.17</v>
      </c>
      <c r="H369" s="3">
        <v>35.93</v>
      </c>
      <c r="I369" s="3" t="str">
        <f t="shared" si="1"/>
        <v>07/yyyy</v>
      </c>
      <c r="J369" s="3"/>
      <c r="K369" s="3"/>
      <c r="L369" s="3"/>
      <c r="M369" s="3"/>
      <c r="N369" s="3"/>
      <c r="O369" s="3"/>
      <c r="P369" s="3"/>
      <c r="Q369" s="3"/>
      <c r="R369" s="3"/>
      <c r="S369" s="3"/>
      <c r="T369" s="3"/>
      <c r="U369" s="3"/>
      <c r="V369" s="3"/>
      <c r="W369" s="3"/>
      <c r="X369" s="3"/>
      <c r="Y369" s="3"/>
      <c r="Z369" s="3"/>
    </row>
    <row r="370" spans="1:26">
      <c r="A370" s="8" t="s">
        <v>377</v>
      </c>
      <c r="B370" s="3">
        <v>415</v>
      </c>
      <c r="C370" s="3">
        <v>15732.99</v>
      </c>
      <c r="D370" s="3">
        <v>4</v>
      </c>
      <c r="E370" s="3">
        <v>393.99</v>
      </c>
      <c r="F370" s="3">
        <v>411</v>
      </c>
      <c r="G370" s="3">
        <v>15399.9</v>
      </c>
      <c r="H370" s="3">
        <v>37.32</v>
      </c>
      <c r="I370" s="3" t="str">
        <f t="shared" si="1"/>
        <v>07/yyyy</v>
      </c>
      <c r="J370" s="3"/>
      <c r="K370" s="3"/>
      <c r="L370" s="3"/>
      <c r="M370" s="3"/>
      <c r="N370" s="3"/>
      <c r="O370" s="3"/>
      <c r="P370" s="3"/>
      <c r="Q370" s="3"/>
      <c r="R370" s="3"/>
      <c r="S370" s="3"/>
      <c r="T370" s="3"/>
      <c r="U370" s="3"/>
      <c r="V370" s="3"/>
      <c r="W370" s="3"/>
      <c r="X370" s="3"/>
      <c r="Y370" s="3"/>
      <c r="Z370" s="3"/>
    </row>
    <row r="371" spans="1:26">
      <c r="A371" s="8" t="s">
        <v>378</v>
      </c>
      <c r="B371" s="3">
        <v>279</v>
      </c>
      <c r="C371" s="3">
        <v>14419.66</v>
      </c>
      <c r="D371" s="3">
        <v>1</v>
      </c>
      <c r="E371" s="3">
        <v>9</v>
      </c>
      <c r="F371" s="3">
        <v>278</v>
      </c>
      <c r="G371" s="3">
        <v>14410.66</v>
      </c>
      <c r="H371" s="3">
        <v>51.84</v>
      </c>
      <c r="I371" s="3" t="str">
        <f t="shared" si="1"/>
        <v>07/yyyy</v>
      </c>
      <c r="J371" s="3"/>
      <c r="K371" s="3"/>
      <c r="L371" s="3"/>
      <c r="M371" s="3"/>
      <c r="N371" s="3"/>
      <c r="O371" s="3"/>
      <c r="P371" s="3"/>
      <c r="Q371" s="3"/>
      <c r="R371" s="3"/>
      <c r="S371" s="3"/>
      <c r="T371" s="3"/>
      <c r="U371" s="3"/>
      <c r="V371" s="3"/>
      <c r="W371" s="3"/>
      <c r="X371" s="3"/>
      <c r="Y371" s="3"/>
      <c r="Z371" s="3"/>
    </row>
    <row r="372" spans="1:26">
      <c r="A372" s="8" t="s">
        <v>379</v>
      </c>
      <c r="B372" s="3">
        <v>294</v>
      </c>
      <c r="C372" s="3">
        <v>8530.9599999999991</v>
      </c>
      <c r="D372" s="3">
        <v>0</v>
      </c>
      <c r="E372" s="3">
        <v>0</v>
      </c>
      <c r="F372" s="3">
        <v>294</v>
      </c>
      <c r="G372" s="3">
        <v>8539.9599999999991</v>
      </c>
      <c r="H372" s="3">
        <v>29.05</v>
      </c>
      <c r="I372" s="3" t="str">
        <f t="shared" si="1"/>
        <v>07/yyyy</v>
      </c>
      <c r="J372" s="3"/>
      <c r="K372" s="3"/>
      <c r="L372" s="3"/>
      <c r="M372" s="3"/>
      <c r="N372" s="3"/>
      <c r="O372" s="3"/>
      <c r="P372" s="3"/>
      <c r="Q372" s="3"/>
      <c r="R372" s="3"/>
      <c r="S372" s="3"/>
      <c r="T372" s="3"/>
      <c r="U372" s="3"/>
      <c r="V372" s="3"/>
      <c r="W372" s="3"/>
      <c r="X372" s="3"/>
      <c r="Y372" s="3"/>
      <c r="Z372" s="3"/>
    </row>
    <row r="373" spans="1:26">
      <c r="A373" s="8" t="s">
        <v>380</v>
      </c>
      <c r="B373" s="3">
        <v>267</v>
      </c>
      <c r="C373" s="3">
        <v>8292.9500000000007</v>
      </c>
      <c r="D373" s="3">
        <v>0</v>
      </c>
      <c r="E373" s="3">
        <v>0</v>
      </c>
      <c r="F373" s="3">
        <v>267</v>
      </c>
      <c r="G373" s="3">
        <v>8292.9500000000007</v>
      </c>
      <c r="H373" s="3">
        <v>31.06</v>
      </c>
      <c r="I373" s="3" t="str">
        <f t="shared" si="1"/>
        <v>07/yyyy</v>
      </c>
      <c r="J373" s="3"/>
      <c r="K373" s="3"/>
      <c r="L373" s="3"/>
      <c r="M373" s="3"/>
      <c r="N373" s="3"/>
      <c r="O373" s="3"/>
      <c r="P373" s="3"/>
      <c r="Q373" s="3"/>
      <c r="R373" s="3"/>
      <c r="S373" s="3"/>
      <c r="T373" s="3"/>
      <c r="U373" s="3"/>
      <c r="V373" s="3"/>
      <c r="W373" s="3"/>
      <c r="X373" s="3"/>
      <c r="Y373" s="3"/>
      <c r="Z373" s="3"/>
    </row>
    <row r="374" spans="1:26">
      <c r="A374" s="8" t="s">
        <v>381</v>
      </c>
      <c r="B374" s="3">
        <v>251</v>
      </c>
      <c r="C374" s="3">
        <v>8576.51</v>
      </c>
      <c r="D374" s="3">
        <v>2</v>
      </c>
      <c r="E374" s="3">
        <v>93</v>
      </c>
      <c r="F374" s="3">
        <v>249</v>
      </c>
      <c r="G374" s="3">
        <v>8483.51</v>
      </c>
      <c r="H374" s="3">
        <v>34.07</v>
      </c>
      <c r="I374" s="3" t="str">
        <f t="shared" si="1"/>
        <v>07/yyyy</v>
      </c>
      <c r="J374" s="3"/>
      <c r="K374" s="3"/>
      <c r="L374" s="3"/>
      <c r="M374" s="3"/>
      <c r="N374" s="3"/>
      <c r="O374" s="3"/>
      <c r="P374" s="3"/>
      <c r="Q374" s="3"/>
      <c r="R374" s="3"/>
      <c r="S374" s="3"/>
      <c r="T374" s="3"/>
      <c r="U374" s="3"/>
      <c r="V374" s="3"/>
      <c r="W374" s="3"/>
      <c r="X374" s="3"/>
      <c r="Y374" s="3"/>
      <c r="Z374" s="3"/>
    </row>
    <row r="375" spans="1:26">
      <c r="A375" s="8" t="s">
        <v>382</v>
      </c>
      <c r="B375" s="3">
        <v>258</v>
      </c>
      <c r="C375" s="3">
        <v>8693.57</v>
      </c>
      <c r="D375" s="3">
        <v>1</v>
      </c>
      <c r="E375" s="3">
        <v>7.3</v>
      </c>
      <c r="F375" s="3">
        <v>257</v>
      </c>
      <c r="G375" s="3">
        <v>8686.27</v>
      </c>
      <c r="H375" s="3">
        <v>33.799999999999997</v>
      </c>
      <c r="I375" s="3" t="str">
        <f t="shared" si="1"/>
        <v>07/yyyy</v>
      </c>
      <c r="J375" s="3"/>
      <c r="K375" s="3"/>
      <c r="L375" s="3"/>
      <c r="M375" s="3"/>
      <c r="N375" s="3"/>
      <c r="O375" s="3"/>
      <c r="P375" s="3"/>
      <c r="Q375" s="3"/>
      <c r="R375" s="3"/>
      <c r="S375" s="3"/>
      <c r="T375" s="3"/>
      <c r="U375" s="3"/>
      <c r="V375" s="3"/>
      <c r="W375" s="3"/>
      <c r="X375" s="3"/>
      <c r="Y375" s="3"/>
      <c r="Z375" s="3"/>
    </row>
    <row r="376" spans="1:26">
      <c r="A376" s="8" t="s">
        <v>383</v>
      </c>
      <c r="B376" s="3">
        <v>280</v>
      </c>
      <c r="C376" s="3">
        <v>9988.7099999999991</v>
      </c>
      <c r="D376" s="3">
        <v>1</v>
      </c>
      <c r="E376" s="3">
        <v>27.5</v>
      </c>
      <c r="F376" s="3">
        <v>279</v>
      </c>
      <c r="G376" s="3">
        <v>9961.2099999999991</v>
      </c>
      <c r="H376" s="3">
        <v>35.700000000000003</v>
      </c>
      <c r="I376" s="3" t="str">
        <f t="shared" si="1"/>
        <v>07/yyyy</v>
      </c>
      <c r="J376" s="3"/>
      <c r="K376" s="3"/>
      <c r="L376" s="3"/>
      <c r="M376" s="3"/>
      <c r="N376" s="3"/>
      <c r="O376" s="3"/>
      <c r="P376" s="3"/>
      <c r="Q376" s="3"/>
      <c r="R376" s="3"/>
      <c r="S376" s="3"/>
      <c r="T376" s="3"/>
      <c r="U376" s="3"/>
      <c r="V376" s="3"/>
      <c r="W376" s="3"/>
      <c r="X376" s="3"/>
      <c r="Y376" s="3"/>
      <c r="Z376" s="3"/>
    </row>
    <row r="377" spans="1:26">
      <c r="A377" s="8" t="s">
        <v>384</v>
      </c>
      <c r="B377" s="3">
        <v>366</v>
      </c>
      <c r="C377" s="3">
        <v>12947.47</v>
      </c>
      <c r="D377" s="3">
        <v>0</v>
      </c>
      <c r="E377" s="3">
        <v>0</v>
      </c>
      <c r="F377" s="3">
        <v>366</v>
      </c>
      <c r="G377" s="3">
        <v>12947.47</v>
      </c>
      <c r="H377" s="3">
        <v>35.380000000000003</v>
      </c>
      <c r="I377" s="3" t="str">
        <f t="shared" si="1"/>
        <v>07/yyyy</v>
      </c>
      <c r="J377" s="3"/>
      <c r="K377" s="3"/>
      <c r="L377" s="3"/>
      <c r="M377" s="3"/>
      <c r="N377" s="3"/>
      <c r="O377" s="3"/>
      <c r="P377" s="3"/>
      <c r="Q377" s="3"/>
      <c r="R377" s="3"/>
      <c r="S377" s="3"/>
      <c r="T377" s="3"/>
      <c r="U377" s="3"/>
      <c r="V377" s="3"/>
      <c r="W377" s="3"/>
      <c r="X377" s="3"/>
      <c r="Y377" s="3"/>
      <c r="Z377" s="3"/>
    </row>
    <row r="378" spans="1:26">
      <c r="A378" s="8" t="s">
        <v>385</v>
      </c>
      <c r="B378" s="3">
        <v>222</v>
      </c>
      <c r="C378" s="3">
        <v>8817.51</v>
      </c>
      <c r="D378" s="3">
        <v>2</v>
      </c>
      <c r="E378" s="3">
        <v>245.9</v>
      </c>
      <c r="F378" s="3">
        <v>220</v>
      </c>
      <c r="G378" s="3">
        <v>8571.61</v>
      </c>
      <c r="H378" s="3">
        <v>38.96</v>
      </c>
      <c r="I378" s="3" t="str">
        <f t="shared" si="1"/>
        <v>07/yyyy</v>
      </c>
      <c r="J378" s="3"/>
      <c r="K378" s="3"/>
      <c r="L378" s="3"/>
      <c r="M378" s="3"/>
      <c r="N378" s="3"/>
      <c r="O378" s="3"/>
      <c r="P378" s="3"/>
      <c r="Q378" s="3"/>
      <c r="R378" s="3"/>
      <c r="S378" s="3"/>
      <c r="T378" s="3"/>
      <c r="U378" s="3"/>
      <c r="V378" s="3"/>
      <c r="W378" s="3"/>
      <c r="X378" s="3"/>
      <c r="Y378" s="3"/>
      <c r="Z378" s="3"/>
    </row>
    <row r="379" spans="1:26">
      <c r="A379" s="8"/>
      <c r="B379" s="3"/>
      <c r="C379" s="3"/>
      <c r="D379" s="3"/>
      <c r="E379" s="3"/>
      <c r="F379" s="3"/>
      <c r="G379" s="3"/>
      <c r="H379" s="3"/>
      <c r="I379" s="3" t="str">
        <f t="shared" si="1"/>
        <v>01/yyyy</v>
      </c>
      <c r="J379" s="3"/>
      <c r="K379" s="3"/>
      <c r="L379" s="3"/>
      <c r="M379" s="3"/>
      <c r="N379" s="3"/>
      <c r="O379" s="3"/>
      <c r="P379" s="3"/>
      <c r="Q379" s="3"/>
      <c r="R379" s="3"/>
      <c r="S379" s="3"/>
      <c r="T379" s="3"/>
      <c r="U379" s="3"/>
      <c r="V379" s="3"/>
      <c r="W379" s="3"/>
      <c r="X379" s="3"/>
      <c r="Y379" s="3"/>
      <c r="Z379" s="3"/>
    </row>
    <row r="380" spans="1:26">
      <c r="A380" s="8"/>
      <c r="B380" s="3"/>
      <c r="C380" s="3"/>
      <c r="D380" s="3"/>
      <c r="E380" s="3"/>
      <c r="F380" s="3"/>
      <c r="G380" s="3"/>
      <c r="H380" s="3"/>
      <c r="I380" s="3" t="str">
        <f t="shared" si="1"/>
        <v>01/yyyy</v>
      </c>
      <c r="J380" s="3"/>
      <c r="K380" s="3"/>
      <c r="L380" s="3"/>
      <c r="M380" s="3"/>
      <c r="N380" s="3"/>
      <c r="O380" s="3"/>
      <c r="P380" s="3"/>
      <c r="Q380" s="3"/>
      <c r="R380" s="3"/>
      <c r="S380" s="3"/>
      <c r="T380" s="3"/>
      <c r="U380" s="3"/>
      <c r="V380" s="3"/>
      <c r="W380" s="3"/>
      <c r="X380" s="3"/>
      <c r="Y380" s="3"/>
      <c r="Z380" s="3"/>
    </row>
    <row r="381" spans="1:26">
      <c r="A381" s="8"/>
      <c r="B381" s="3"/>
      <c r="C381" s="3"/>
      <c r="D381" s="3"/>
      <c r="E381" s="3"/>
      <c r="F381" s="3"/>
      <c r="G381" s="3"/>
      <c r="H381" s="3"/>
      <c r="I381" s="3" t="str">
        <f t="shared" si="1"/>
        <v>01/yyyy</v>
      </c>
      <c r="J381" s="3"/>
      <c r="K381" s="3"/>
      <c r="L381" s="3"/>
      <c r="M381" s="3"/>
      <c r="N381" s="3"/>
      <c r="O381" s="3"/>
      <c r="P381" s="3"/>
      <c r="Q381" s="3"/>
      <c r="R381" s="3"/>
      <c r="S381" s="3"/>
      <c r="T381" s="3"/>
      <c r="U381" s="3"/>
      <c r="V381" s="3"/>
      <c r="W381" s="3"/>
      <c r="X381" s="3"/>
      <c r="Y381" s="3"/>
      <c r="Z381" s="3"/>
    </row>
    <row r="382" spans="1:26">
      <c r="A382" s="8"/>
      <c r="B382" s="3"/>
      <c r="C382" s="3"/>
      <c r="D382" s="3"/>
      <c r="E382" s="3"/>
      <c r="F382" s="3"/>
      <c r="G382" s="3"/>
      <c r="H382" s="3"/>
      <c r="I382" s="3" t="str">
        <f t="shared" si="1"/>
        <v>01/yyyy</v>
      </c>
      <c r="J382" s="3"/>
      <c r="K382" s="3"/>
      <c r="L382" s="3"/>
      <c r="M382" s="3"/>
      <c r="N382" s="3"/>
      <c r="O382" s="3"/>
      <c r="P382" s="3"/>
      <c r="Q382" s="3"/>
      <c r="R382" s="3"/>
      <c r="S382" s="3"/>
      <c r="T382" s="3"/>
      <c r="U382" s="3"/>
      <c r="V382" s="3"/>
      <c r="W382" s="3"/>
      <c r="X382" s="3"/>
      <c r="Y382" s="3"/>
      <c r="Z382" s="3"/>
    </row>
    <row r="383" spans="1:26">
      <c r="A383" s="8"/>
      <c r="B383" s="3"/>
      <c r="C383" s="3"/>
      <c r="D383" s="3"/>
      <c r="E383" s="3"/>
      <c r="F383" s="3"/>
      <c r="G383" s="3"/>
      <c r="H383" s="3"/>
      <c r="I383" s="3" t="str">
        <f t="shared" si="1"/>
        <v>01/yyyy</v>
      </c>
      <c r="J383" s="3"/>
      <c r="K383" s="3"/>
      <c r="L383" s="3"/>
      <c r="M383" s="3"/>
      <c r="N383" s="3"/>
      <c r="O383" s="3"/>
      <c r="P383" s="3"/>
      <c r="Q383" s="3"/>
      <c r="R383" s="3"/>
      <c r="S383" s="3"/>
      <c r="T383" s="3"/>
      <c r="U383" s="3"/>
      <c r="V383" s="3"/>
      <c r="W383" s="3"/>
      <c r="X383" s="3"/>
      <c r="Y383" s="3"/>
      <c r="Z383" s="3"/>
    </row>
    <row r="384" spans="1:26">
      <c r="A384" s="8"/>
      <c r="B384" s="3"/>
      <c r="C384" s="3"/>
      <c r="D384" s="3"/>
      <c r="E384" s="3"/>
      <c r="F384" s="3"/>
      <c r="G384" s="3"/>
      <c r="H384" s="3"/>
      <c r="I384" s="3" t="str">
        <f t="shared" si="1"/>
        <v>01/yyyy</v>
      </c>
      <c r="J384" s="3"/>
      <c r="K384" s="3"/>
      <c r="L384" s="3"/>
      <c r="M384" s="3"/>
      <c r="N384" s="3"/>
      <c r="O384" s="3"/>
      <c r="P384" s="3"/>
      <c r="Q384" s="3"/>
      <c r="R384" s="3"/>
      <c r="S384" s="3"/>
      <c r="T384" s="3"/>
      <c r="U384" s="3"/>
      <c r="V384" s="3"/>
      <c r="W384" s="3"/>
      <c r="X384" s="3"/>
      <c r="Y384" s="3"/>
      <c r="Z384" s="3"/>
    </row>
    <row r="385" spans="1:26">
      <c r="A385" s="8"/>
      <c r="B385" s="3"/>
      <c r="C385" s="3"/>
      <c r="D385" s="3"/>
      <c r="E385" s="3"/>
      <c r="F385" s="3"/>
      <c r="G385" s="3"/>
      <c r="H385" s="3"/>
      <c r="I385" s="3" t="str">
        <f t="shared" si="1"/>
        <v>01/yyyy</v>
      </c>
      <c r="J385" s="3"/>
      <c r="K385" s="3"/>
      <c r="L385" s="3"/>
      <c r="M385" s="3"/>
      <c r="N385" s="3"/>
      <c r="O385" s="3"/>
      <c r="P385" s="3"/>
      <c r="Q385" s="3"/>
      <c r="R385" s="3"/>
      <c r="S385" s="3"/>
      <c r="T385" s="3"/>
      <c r="U385" s="3"/>
      <c r="V385" s="3"/>
      <c r="W385" s="3"/>
      <c r="X385" s="3"/>
      <c r="Y385" s="3"/>
      <c r="Z385" s="3"/>
    </row>
    <row r="386" spans="1:26">
      <c r="A386" s="8"/>
      <c r="B386" s="3"/>
      <c r="C386" s="3"/>
      <c r="D386" s="3"/>
      <c r="E386" s="3"/>
      <c r="F386" s="3"/>
      <c r="G386" s="3"/>
      <c r="H386" s="3"/>
      <c r="I386" s="3" t="str">
        <f t="shared" si="1"/>
        <v>01/yyyy</v>
      </c>
      <c r="J386" s="3"/>
      <c r="K386" s="3"/>
      <c r="L386" s="3"/>
      <c r="M386" s="3"/>
      <c r="N386" s="3"/>
      <c r="O386" s="3"/>
      <c r="P386" s="3"/>
      <c r="Q386" s="3"/>
      <c r="R386" s="3"/>
      <c r="S386" s="3"/>
      <c r="T386" s="3"/>
      <c r="U386" s="3"/>
      <c r="V386" s="3"/>
      <c r="W386" s="3"/>
      <c r="X386" s="3"/>
      <c r="Y386" s="3"/>
      <c r="Z386" s="3"/>
    </row>
    <row r="387" spans="1:26">
      <c r="A387" s="8"/>
      <c r="B387" s="3"/>
      <c r="C387" s="3"/>
      <c r="D387" s="3"/>
      <c r="E387" s="3"/>
      <c r="F387" s="3"/>
      <c r="G387" s="3"/>
      <c r="H387" s="3"/>
      <c r="I387" s="3" t="str">
        <f t="shared" si="1"/>
        <v>01/yyyy</v>
      </c>
      <c r="J387" s="3"/>
      <c r="K387" s="3"/>
      <c r="L387" s="3"/>
      <c r="M387" s="3"/>
      <c r="N387" s="3"/>
      <c r="O387" s="3"/>
      <c r="P387" s="3"/>
      <c r="Q387" s="3"/>
      <c r="R387" s="3"/>
      <c r="S387" s="3"/>
      <c r="T387" s="3"/>
      <c r="U387" s="3"/>
      <c r="V387" s="3"/>
      <c r="W387" s="3"/>
      <c r="X387" s="3"/>
      <c r="Y387" s="3"/>
      <c r="Z387" s="3"/>
    </row>
    <row r="388" spans="1:26">
      <c r="A388" s="8"/>
      <c r="B388" s="3"/>
      <c r="C388" s="3"/>
      <c r="D388" s="3"/>
      <c r="E388" s="3"/>
      <c r="F388" s="3"/>
      <c r="G388" s="3"/>
      <c r="H388" s="3"/>
      <c r="I388" s="3" t="str">
        <f t="shared" si="1"/>
        <v>01/yyyy</v>
      </c>
      <c r="J388" s="3"/>
      <c r="K388" s="3"/>
      <c r="L388" s="3"/>
      <c r="M388" s="3"/>
      <c r="N388" s="3"/>
      <c r="O388" s="3"/>
      <c r="P388" s="3"/>
      <c r="Q388" s="3"/>
      <c r="R388" s="3"/>
      <c r="S388" s="3"/>
      <c r="T388" s="3"/>
      <c r="U388" s="3"/>
      <c r="V388" s="3"/>
      <c r="W388" s="3"/>
      <c r="X388" s="3"/>
      <c r="Y388" s="3"/>
      <c r="Z388" s="3"/>
    </row>
    <row r="389" spans="1:26">
      <c r="A389" s="8"/>
      <c r="B389" s="3"/>
      <c r="C389" s="3"/>
      <c r="D389" s="3"/>
      <c r="E389" s="3"/>
      <c r="F389" s="3"/>
      <c r="G389" s="3"/>
      <c r="H389" s="3"/>
      <c r="I389" s="3" t="str">
        <f t="shared" si="1"/>
        <v>01/yyyy</v>
      </c>
      <c r="J389" s="3"/>
      <c r="K389" s="3"/>
      <c r="L389" s="3"/>
      <c r="M389" s="3"/>
      <c r="N389" s="3"/>
      <c r="O389" s="3"/>
      <c r="P389" s="3"/>
      <c r="Q389" s="3"/>
      <c r="R389" s="3"/>
      <c r="S389" s="3"/>
      <c r="T389" s="3"/>
      <c r="U389" s="3"/>
      <c r="V389" s="3"/>
      <c r="W389" s="3"/>
      <c r="X389" s="3"/>
      <c r="Y389" s="3"/>
      <c r="Z389" s="3"/>
    </row>
    <row r="390" spans="1:26">
      <c r="A390" s="8"/>
      <c r="B390" s="3"/>
      <c r="C390" s="3"/>
      <c r="D390" s="3"/>
      <c r="E390" s="3"/>
      <c r="F390" s="3"/>
      <c r="G390" s="3"/>
      <c r="H390" s="3"/>
      <c r="I390" s="3" t="str">
        <f t="shared" si="1"/>
        <v>01/yyyy</v>
      </c>
      <c r="J390" s="3"/>
      <c r="K390" s="3"/>
      <c r="L390" s="3"/>
      <c r="M390" s="3"/>
      <c r="N390" s="3"/>
      <c r="O390" s="3"/>
      <c r="P390" s="3"/>
      <c r="Q390" s="3"/>
      <c r="R390" s="3"/>
      <c r="S390" s="3"/>
      <c r="T390" s="3"/>
      <c r="U390" s="3"/>
      <c r="V390" s="3"/>
      <c r="W390" s="3"/>
      <c r="X390" s="3"/>
      <c r="Y390" s="3"/>
      <c r="Z390" s="3"/>
    </row>
    <row r="391" spans="1:26">
      <c r="A391" s="8"/>
      <c r="B391" s="3"/>
      <c r="C391" s="3"/>
      <c r="D391" s="3"/>
      <c r="E391" s="3"/>
      <c r="F391" s="3"/>
      <c r="G391" s="3"/>
      <c r="H391" s="3"/>
      <c r="I391" s="3" t="str">
        <f t="shared" si="1"/>
        <v>01/yyyy</v>
      </c>
      <c r="J391" s="3"/>
      <c r="K391" s="3"/>
      <c r="L391" s="3"/>
      <c r="M391" s="3"/>
      <c r="N391" s="3"/>
      <c r="O391" s="3"/>
      <c r="P391" s="3"/>
      <c r="Q391" s="3"/>
      <c r="R391" s="3"/>
      <c r="S391" s="3"/>
      <c r="T391" s="3"/>
      <c r="U391" s="3"/>
      <c r="V391" s="3"/>
      <c r="W391" s="3"/>
      <c r="X391" s="3"/>
      <c r="Y391" s="3"/>
      <c r="Z391" s="3"/>
    </row>
    <row r="392" spans="1:26">
      <c r="A392" s="8"/>
      <c r="B392" s="3"/>
      <c r="C392" s="3"/>
      <c r="D392" s="3"/>
      <c r="E392" s="3"/>
      <c r="F392" s="3"/>
      <c r="G392" s="3"/>
      <c r="H392" s="3"/>
      <c r="I392" s="3" t="str">
        <f t="shared" si="1"/>
        <v>01/yyyy</v>
      </c>
      <c r="J392" s="3"/>
      <c r="K392" s="3"/>
      <c r="L392" s="3"/>
      <c r="M392" s="3"/>
      <c r="N392" s="3"/>
      <c r="O392" s="3"/>
      <c r="P392" s="3"/>
      <c r="Q392" s="3"/>
      <c r="R392" s="3"/>
      <c r="S392" s="3"/>
      <c r="T392" s="3"/>
      <c r="U392" s="3"/>
      <c r="V392" s="3"/>
      <c r="W392" s="3"/>
      <c r="X392" s="3"/>
      <c r="Y392" s="3"/>
      <c r="Z392" s="3"/>
    </row>
    <row r="393" spans="1:26">
      <c r="A393" s="8"/>
      <c r="B393" s="3"/>
      <c r="C393" s="3"/>
      <c r="D393" s="3"/>
      <c r="E393" s="3"/>
      <c r="F393" s="3"/>
      <c r="G393" s="3"/>
      <c r="H393" s="3"/>
      <c r="I393" s="3" t="str">
        <f t="shared" si="1"/>
        <v>01/yyyy</v>
      </c>
      <c r="J393" s="3"/>
      <c r="K393" s="3"/>
      <c r="L393" s="3"/>
      <c r="M393" s="3"/>
      <c r="N393" s="3"/>
      <c r="O393" s="3"/>
      <c r="P393" s="3"/>
      <c r="Q393" s="3"/>
      <c r="R393" s="3"/>
      <c r="S393" s="3"/>
      <c r="T393" s="3"/>
      <c r="U393" s="3"/>
      <c r="V393" s="3"/>
      <c r="W393" s="3"/>
      <c r="X393" s="3"/>
      <c r="Y393" s="3"/>
      <c r="Z393" s="3"/>
    </row>
    <row r="394" spans="1:26">
      <c r="A394" s="8"/>
      <c r="B394" s="3"/>
      <c r="C394" s="3"/>
      <c r="D394" s="3"/>
      <c r="E394" s="3"/>
      <c r="F394" s="3"/>
      <c r="G394" s="3"/>
      <c r="H394" s="3"/>
      <c r="I394" s="3" t="str">
        <f t="shared" si="1"/>
        <v>01/yyyy</v>
      </c>
      <c r="J394" s="3"/>
      <c r="K394" s="3"/>
      <c r="L394" s="3"/>
      <c r="M394" s="3"/>
      <c r="N394" s="3"/>
      <c r="O394" s="3"/>
      <c r="P394" s="3"/>
      <c r="Q394" s="3"/>
      <c r="R394" s="3"/>
      <c r="S394" s="3"/>
      <c r="T394" s="3"/>
      <c r="U394" s="3"/>
      <c r="V394" s="3"/>
      <c r="W394" s="3"/>
      <c r="X394" s="3"/>
      <c r="Y394" s="3"/>
      <c r="Z394" s="3"/>
    </row>
    <row r="395" spans="1:26">
      <c r="A395" s="8"/>
      <c r="B395" s="3"/>
      <c r="C395" s="3"/>
      <c r="D395" s="3"/>
      <c r="E395" s="3"/>
      <c r="F395" s="3"/>
      <c r="G395" s="3"/>
      <c r="H395" s="3"/>
      <c r="I395" s="3" t="str">
        <f t="shared" si="1"/>
        <v>01/yyyy</v>
      </c>
      <c r="J395" s="3"/>
      <c r="K395" s="3"/>
      <c r="L395" s="3"/>
      <c r="M395" s="3"/>
      <c r="N395" s="3"/>
      <c r="O395" s="3"/>
      <c r="P395" s="3"/>
      <c r="Q395" s="3"/>
      <c r="R395" s="3"/>
      <c r="S395" s="3"/>
      <c r="T395" s="3"/>
      <c r="U395" s="3"/>
      <c r="V395" s="3"/>
      <c r="W395" s="3"/>
      <c r="X395" s="3"/>
      <c r="Y395" s="3"/>
      <c r="Z395" s="3"/>
    </row>
    <row r="396" spans="1:26">
      <c r="A396" s="8"/>
      <c r="B396" s="3"/>
      <c r="C396" s="3"/>
      <c r="D396" s="3"/>
      <c r="E396" s="3"/>
      <c r="F396" s="3"/>
      <c r="G396" s="3"/>
      <c r="H396" s="3"/>
      <c r="I396" s="3" t="str">
        <f t="shared" si="1"/>
        <v>01/yyyy</v>
      </c>
      <c r="J396" s="3"/>
      <c r="K396" s="3"/>
      <c r="L396" s="3"/>
      <c r="M396" s="3"/>
      <c r="N396" s="3"/>
      <c r="O396" s="3"/>
      <c r="P396" s="3"/>
      <c r="Q396" s="3"/>
      <c r="R396" s="3"/>
      <c r="S396" s="3"/>
      <c r="T396" s="3"/>
      <c r="U396" s="3"/>
      <c r="V396" s="3"/>
      <c r="W396" s="3"/>
      <c r="X396" s="3"/>
      <c r="Y396" s="3"/>
      <c r="Z396" s="3"/>
    </row>
    <row r="397" spans="1:26">
      <c r="A397" s="8"/>
      <c r="B397" s="3"/>
      <c r="C397" s="3"/>
      <c r="D397" s="3"/>
      <c r="E397" s="3"/>
      <c r="F397" s="3"/>
      <c r="G397" s="3"/>
      <c r="H397" s="3"/>
      <c r="I397" s="3" t="str">
        <f t="shared" si="1"/>
        <v>01/yyyy</v>
      </c>
      <c r="J397" s="3"/>
      <c r="K397" s="3"/>
      <c r="L397" s="3"/>
      <c r="M397" s="3"/>
      <c r="N397" s="3"/>
      <c r="O397" s="3"/>
      <c r="P397" s="3"/>
      <c r="Q397" s="3"/>
      <c r="R397" s="3"/>
      <c r="S397" s="3"/>
      <c r="T397" s="3"/>
      <c r="U397" s="3"/>
      <c r="V397" s="3"/>
      <c r="W397" s="3"/>
      <c r="X397" s="3"/>
      <c r="Y397" s="3"/>
      <c r="Z397" s="3"/>
    </row>
    <row r="398" spans="1:26">
      <c r="A398" s="8"/>
      <c r="B398" s="3"/>
      <c r="C398" s="3"/>
      <c r="D398" s="3"/>
      <c r="E398" s="3"/>
      <c r="F398" s="3"/>
      <c r="G398" s="3"/>
      <c r="H398" s="3"/>
      <c r="I398" s="3" t="str">
        <f t="shared" si="1"/>
        <v>01/yyyy</v>
      </c>
      <c r="J398" s="3"/>
      <c r="K398" s="3"/>
      <c r="L398" s="3"/>
      <c r="M398" s="3"/>
      <c r="N398" s="3"/>
      <c r="O398" s="3"/>
      <c r="P398" s="3"/>
      <c r="Q398" s="3"/>
      <c r="R398" s="3"/>
      <c r="S398" s="3"/>
      <c r="T398" s="3"/>
      <c r="U398" s="3"/>
      <c r="V398" s="3"/>
      <c r="W398" s="3"/>
      <c r="X398" s="3"/>
      <c r="Y398" s="3"/>
      <c r="Z398" s="3"/>
    </row>
    <row r="399" spans="1:26">
      <c r="A399" s="8"/>
      <c r="B399" s="3"/>
      <c r="C399" s="3"/>
      <c r="D399" s="3"/>
      <c r="E399" s="3"/>
      <c r="F399" s="3"/>
      <c r="G399" s="3"/>
      <c r="H399" s="3"/>
      <c r="I399" s="3" t="str">
        <f t="shared" si="1"/>
        <v>01/yyyy</v>
      </c>
      <c r="J399" s="3"/>
      <c r="K399" s="3"/>
      <c r="L399" s="3"/>
      <c r="M399" s="3"/>
      <c r="N399" s="3"/>
      <c r="O399" s="3"/>
      <c r="P399" s="3"/>
      <c r="Q399" s="3"/>
      <c r="R399" s="3"/>
      <c r="S399" s="3"/>
      <c r="T399" s="3"/>
      <c r="U399" s="3"/>
      <c r="V399" s="3"/>
      <c r="W399" s="3"/>
      <c r="X399" s="3"/>
      <c r="Y399" s="3"/>
      <c r="Z399" s="3"/>
    </row>
    <row r="400" spans="1:26">
      <c r="A400" s="8"/>
      <c r="B400" s="3"/>
      <c r="C400" s="3"/>
      <c r="D400" s="3"/>
      <c r="E400" s="3"/>
      <c r="F400" s="3"/>
      <c r="G400" s="3"/>
      <c r="H400" s="3"/>
      <c r="I400" s="3" t="str">
        <f t="shared" si="1"/>
        <v>01/yyyy</v>
      </c>
      <c r="J400" s="3"/>
      <c r="K400" s="3"/>
      <c r="L400" s="3"/>
      <c r="M400" s="3"/>
      <c r="N400" s="3"/>
      <c r="O400" s="3"/>
      <c r="P400" s="3"/>
      <c r="Q400" s="3"/>
      <c r="R400" s="3"/>
      <c r="S400" s="3"/>
      <c r="T400" s="3"/>
      <c r="U400" s="3"/>
      <c r="V400" s="3"/>
      <c r="W400" s="3"/>
      <c r="X400" s="3"/>
      <c r="Y400" s="3"/>
      <c r="Z400" s="3"/>
    </row>
    <row r="401" spans="1:26">
      <c r="A401" s="8"/>
      <c r="B401" s="3"/>
      <c r="C401" s="3"/>
      <c r="D401" s="3"/>
      <c r="E401" s="3"/>
      <c r="F401" s="3"/>
      <c r="G401" s="3"/>
      <c r="H401" s="3"/>
      <c r="I401" s="3" t="str">
        <f t="shared" si="1"/>
        <v>01/yyyy</v>
      </c>
      <c r="J401" s="3"/>
      <c r="K401" s="3"/>
      <c r="L401" s="3"/>
      <c r="M401" s="3"/>
      <c r="N401" s="3"/>
      <c r="O401" s="3"/>
      <c r="P401" s="3"/>
      <c r="Q401" s="3"/>
      <c r="R401" s="3"/>
      <c r="S401" s="3"/>
      <c r="T401" s="3"/>
      <c r="U401" s="3"/>
      <c r="V401" s="3"/>
      <c r="W401" s="3"/>
      <c r="X401" s="3"/>
      <c r="Y401" s="3"/>
      <c r="Z401" s="3"/>
    </row>
    <row r="402" spans="1:26">
      <c r="A402" s="8"/>
      <c r="B402" s="3"/>
      <c r="C402" s="3"/>
      <c r="D402" s="3"/>
      <c r="E402" s="3"/>
      <c r="F402" s="3"/>
      <c r="G402" s="3"/>
      <c r="H402" s="3"/>
      <c r="I402" s="3" t="str">
        <f t="shared" si="1"/>
        <v>01/yyyy</v>
      </c>
      <c r="J402" s="3"/>
      <c r="K402" s="3"/>
      <c r="L402" s="3"/>
      <c r="M402" s="3"/>
      <c r="N402" s="3"/>
      <c r="O402" s="3"/>
      <c r="P402" s="3"/>
      <c r="Q402" s="3"/>
      <c r="R402" s="3"/>
      <c r="S402" s="3"/>
      <c r="T402" s="3"/>
      <c r="U402" s="3"/>
      <c r="V402" s="3"/>
      <c r="W402" s="3"/>
      <c r="X402" s="3"/>
      <c r="Y402" s="3"/>
      <c r="Z402" s="3"/>
    </row>
    <row r="403" spans="1:26">
      <c r="A403" s="8"/>
      <c r="B403" s="3"/>
      <c r="C403" s="3"/>
      <c r="D403" s="3"/>
      <c r="E403" s="3"/>
      <c r="F403" s="3"/>
      <c r="G403" s="3"/>
      <c r="H403" s="3"/>
      <c r="I403" s="3" t="str">
        <f t="shared" si="1"/>
        <v>01/yyyy</v>
      </c>
      <c r="J403" s="3"/>
      <c r="K403" s="3"/>
      <c r="L403" s="3"/>
      <c r="M403" s="3"/>
      <c r="N403" s="3"/>
      <c r="O403" s="3"/>
      <c r="P403" s="3"/>
      <c r="Q403" s="3"/>
      <c r="R403" s="3"/>
      <c r="S403" s="3"/>
      <c r="T403" s="3"/>
      <c r="U403" s="3"/>
      <c r="V403" s="3"/>
      <c r="W403" s="3"/>
      <c r="X403" s="3"/>
      <c r="Y403" s="3"/>
      <c r="Z403" s="3"/>
    </row>
    <row r="404" spans="1:26">
      <c r="A404" s="8"/>
      <c r="B404" s="3"/>
      <c r="C404" s="3"/>
      <c r="D404" s="3"/>
      <c r="E404" s="3"/>
      <c r="F404" s="3"/>
      <c r="G404" s="3"/>
      <c r="H404" s="3"/>
      <c r="I404" s="3" t="str">
        <f t="shared" si="1"/>
        <v>01/yyyy</v>
      </c>
      <c r="J404" s="3"/>
      <c r="K404" s="3"/>
      <c r="L404" s="3"/>
      <c r="M404" s="3"/>
      <c r="N404" s="3"/>
      <c r="O404" s="3"/>
      <c r="P404" s="3"/>
      <c r="Q404" s="3"/>
      <c r="R404" s="3"/>
      <c r="S404" s="3"/>
      <c r="T404" s="3"/>
      <c r="U404" s="3"/>
      <c r="V404" s="3"/>
      <c r="W404" s="3"/>
      <c r="X404" s="3"/>
      <c r="Y404" s="3"/>
      <c r="Z404" s="3"/>
    </row>
    <row r="405" spans="1:26">
      <c r="A405" s="8"/>
      <c r="B405" s="3"/>
      <c r="C405" s="3"/>
      <c r="D405" s="3"/>
      <c r="E405" s="3"/>
      <c r="F405" s="3"/>
      <c r="G405" s="3"/>
      <c r="H405" s="3"/>
      <c r="I405" s="3" t="str">
        <f t="shared" si="1"/>
        <v>01/yyyy</v>
      </c>
      <c r="J405" s="3"/>
      <c r="K405" s="3"/>
      <c r="L405" s="3"/>
      <c r="M405" s="3"/>
      <c r="N405" s="3"/>
      <c r="O405" s="3"/>
      <c r="P405" s="3"/>
      <c r="Q405" s="3"/>
      <c r="R405" s="3"/>
      <c r="S405" s="3"/>
      <c r="T405" s="3"/>
      <c r="U405" s="3"/>
      <c r="V405" s="3"/>
      <c r="W405" s="3"/>
      <c r="X405" s="3"/>
      <c r="Y405" s="3"/>
      <c r="Z405" s="3"/>
    </row>
    <row r="406" spans="1:26">
      <c r="A406" s="8"/>
      <c r="B406" s="3"/>
      <c r="C406" s="3"/>
      <c r="D406" s="3"/>
      <c r="E406" s="3"/>
      <c r="F406" s="3"/>
      <c r="G406" s="3"/>
      <c r="H406" s="3"/>
      <c r="I406" s="3" t="str">
        <f t="shared" si="1"/>
        <v>01/yyyy</v>
      </c>
      <c r="J406" s="3"/>
      <c r="K406" s="3"/>
      <c r="L406" s="3"/>
      <c r="M406" s="3"/>
      <c r="N406" s="3"/>
      <c r="O406" s="3"/>
      <c r="P406" s="3"/>
      <c r="Q406" s="3"/>
      <c r="R406" s="3"/>
      <c r="S406" s="3"/>
      <c r="T406" s="3"/>
      <c r="U406" s="3"/>
      <c r="V406" s="3"/>
      <c r="W406" s="3"/>
      <c r="X406" s="3"/>
      <c r="Y406" s="3"/>
      <c r="Z406" s="3"/>
    </row>
    <row r="407" spans="1:26">
      <c r="A407" s="8"/>
      <c r="B407" s="3"/>
      <c r="C407" s="3"/>
      <c r="D407" s="3"/>
      <c r="E407" s="3"/>
      <c r="F407" s="3"/>
      <c r="G407" s="3"/>
      <c r="H407" s="3"/>
      <c r="I407" s="3" t="str">
        <f t="shared" si="1"/>
        <v>01/yyyy</v>
      </c>
      <c r="J407" s="3"/>
      <c r="K407" s="3"/>
      <c r="L407" s="3"/>
      <c r="M407" s="3"/>
      <c r="N407" s="3"/>
      <c r="O407" s="3"/>
      <c r="P407" s="3"/>
      <c r="Q407" s="3"/>
      <c r="R407" s="3"/>
      <c r="S407" s="3"/>
      <c r="T407" s="3"/>
      <c r="U407" s="3"/>
      <c r="V407" s="3"/>
      <c r="W407" s="3"/>
      <c r="X407" s="3"/>
      <c r="Y407" s="3"/>
      <c r="Z407" s="3"/>
    </row>
    <row r="408" spans="1:26">
      <c r="A408" s="8"/>
      <c r="B408" s="3"/>
      <c r="C408" s="3"/>
      <c r="D408" s="3"/>
      <c r="E408" s="3"/>
      <c r="F408" s="3"/>
      <c r="G408" s="3"/>
      <c r="H408" s="3"/>
      <c r="I408" s="3" t="str">
        <f t="shared" si="1"/>
        <v>01/yyyy</v>
      </c>
      <c r="J408" s="3"/>
      <c r="K408" s="3"/>
      <c r="L408" s="3"/>
      <c r="M408" s="3"/>
      <c r="N408" s="3"/>
      <c r="O408" s="3"/>
      <c r="P408" s="3"/>
      <c r="Q408" s="3"/>
      <c r="R408" s="3"/>
      <c r="S408" s="3"/>
      <c r="T408" s="3"/>
      <c r="U408" s="3"/>
      <c r="V408" s="3"/>
      <c r="W408" s="3"/>
      <c r="X408" s="3"/>
      <c r="Y408" s="3"/>
      <c r="Z408" s="3"/>
    </row>
    <row r="409" spans="1:26">
      <c r="A409" s="8"/>
      <c r="B409" s="3"/>
      <c r="C409" s="3"/>
      <c r="D409" s="3"/>
      <c r="E409" s="3"/>
      <c r="F409" s="3"/>
      <c r="G409" s="3"/>
      <c r="H409" s="3"/>
      <c r="I409" s="3" t="str">
        <f t="shared" si="1"/>
        <v>01/yyyy</v>
      </c>
      <c r="J409" s="3"/>
      <c r="K409" s="3"/>
      <c r="L409" s="3"/>
      <c r="M409" s="3"/>
      <c r="N409" s="3"/>
      <c r="O409" s="3"/>
      <c r="P409" s="3"/>
      <c r="Q409" s="3"/>
      <c r="R409" s="3"/>
      <c r="S409" s="3"/>
      <c r="T409" s="3"/>
      <c r="U409" s="3"/>
      <c r="V409" s="3"/>
      <c r="W409" s="3"/>
      <c r="X409" s="3"/>
      <c r="Y409" s="3"/>
      <c r="Z409" s="3"/>
    </row>
    <row r="410" spans="1:26">
      <c r="A410" s="8"/>
      <c r="B410" s="3"/>
      <c r="C410" s="3"/>
      <c r="D410" s="3"/>
      <c r="E410" s="3"/>
      <c r="F410" s="3"/>
      <c r="G410" s="3"/>
      <c r="H410" s="3"/>
      <c r="I410" s="3" t="str">
        <f t="shared" si="1"/>
        <v>01/yyyy</v>
      </c>
      <c r="J410" s="3"/>
      <c r="K410" s="3"/>
      <c r="L410" s="3"/>
      <c r="M410" s="3"/>
      <c r="N410" s="3"/>
      <c r="O410" s="3"/>
      <c r="P410" s="3"/>
      <c r="Q410" s="3"/>
      <c r="R410" s="3"/>
      <c r="S410" s="3"/>
      <c r="T410" s="3"/>
      <c r="U410" s="3"/>
      <c r="V410" s="3"/>
      <c r="W410" s="3"/>
      <c r="X410" s="3"/>
      <c r="Y410" s="3"/>
      <c r="Z410" s="3"/>
    </row>
    <row r="411" spans="1:26">
      <c r="A411" s="8"/>
      <c r="B411" s="3"/>
      <c r="C411" s="3"/>
      <c r="D411" s="3"/>
      <c r="E411" s="3"/>
      <c r="F411" s="3"/>
      <c r="G411" s="3"/>
      <c r="H411" s="3"/>
      <c r="I411" s="3" t="str">
        <f t="shared" si="1"/>
        <v>01/yyyy</v>
      </c>
      <c r="J411" s="3"/>
      <c r="K411" s="3"/>
      <c r="L411" s="3"/>
      <c r="M411" s="3"/>
      <c r="N411" s="3"/>
      <c r="O411" s="3"/>
      <c r="P411" s="3"/>
      <c r="Q411" s="3"/>
      <c r="R411" s="3"/>
      <c r="S411" s="3"/>
      <c r="T411" s="3"/>
      <c r="U411" s="3"/>
      <c r="V411" s="3"/>
      <c r="W411" s="3"/>
      <c r="X411" s="3"/>
      <c r="Y411" s="3"/>
      <c r="Z411" s="3"/>
    </row>
    <row r="412" spans="1:26">
      <c r="A412" s="8"/>
      <c r="B412" s="3"/>
      <c r="C412" s="3"/>
      <c r="D412" s="3"/>
      <c r="E412" s="3"/>
      <c r="F412" s="3"/>
      <c r="G412" s="3"/>
      <c r="H412" s="3"/>
      <c r="I412" s="3" t="str">
        <f t="shared" si="1"/>
        <v>01/yyyy</v>
      </c>
      <c r="J412" s="3"/>
      <c r="K412" s="3"/>
      <c r="L412" s="3"/>
      <c r="M412" s="3"/>
      <c r="N412" s="3"/>
      <c r="O412" s="3"/>
      <c r="P412" s="3"/>
      <c r="Q412" s="3"/>
      <c r="R412" s="3"/>
      <c r="S412" s="3"/>
      <c r="T412" s="3"/>
      <c r="U412" s="3"/>
      <c r="V412" s="3"/>
      <c r="W412" s="3"/>
      <c r="X412" s="3"/>
      <c r="Y412" s="3"/>
      <c r="Z412" s="3"/>
    </row>
    <row r="413" spans="1:26">
      <c r="A413" s="8"/>
      <c r="B413" s="3"/>
      <c r="C413" s="3"/>
      <c r="D413" s="3"/>
      <c r="E413" s="3"/>
      <c r="F413" s="3"/>
      <c r="G413" s="3"/>
      <c r="H413" s="3"/>
      <c r="I413" s="3" t="str">
        <f t="shared" si="1"/>
        <v>01/yyyy</v>
      </c>
      <c r="J413" s="3"/>
      <c r="K413" s="3"/>
      <c r="L413" s="3"/>
      <c r="M413" s="3"/>
      <c r="N413" s="3"/>
      <c r="O413" s="3"/>
      <c r="P413" s="3"/>
      <c r="Q413" s="3"/>
      <c r="R413" s="3"/>
      <c r="S413" s="3"/>
      <c r="T413" s="3"/>
      <c r="U413" s="3"/>
      <c r="V413" s="3"/>
      <c r="W413" s="3"/>
      <c r="X413" s="3"/>
      <c r="Y413" s="3"/>
      <c r="Z413" s="3"/>
    </row>
    <row r="414" spans="1:26">
      <c r="A414" s="8"/>
      <c r="B414" s="3"/>
      <c r="C414" s="3"/>
      <c r="D414" s="3"/>
      <c r="E414" s="3"/>
      <c r="F414" s="3"/>
      <c r="G414" s="3"/>
      <c r="H414" s="3"/>
      <c r="I414" s="3" t="str">
        <f t="shared" si="1"/>
        <v>01/yyyy</v>
      </c>
      <c r="J414" s="3"/>
      <c r="K414" s="3"/>
      <c r="L414" s="3"/>
      <c r="M414" s="3"/>
      <c r="N414" s="3"/>
      <c r="O414" s="3"/>
      <c r="P414" s="3"/>
      <c r="Q414" s="3"/>
      <c r="R414" s="3"/>
      <c r="S414" s="3"/>
      <c r="T414" s="3"/>
      <c r="U414" s="3"/>
      <c r="V414" s="3"/>
      <c r="W414" s="3"/>
      <c r="X414" s="3"/>
      <c r="Y414" s="3"/>
      <c r="Z414" s="3"/>
    </row>
    <row r="415" spans="1:26">
      <c r="A415" s="8"/>
      <c r="B415" s="3"/>
      <c r="C415" s="3"/>
      <c r="D415" s="3"/>
      <c r="E415" s="3"/>
      <c r="F415" s="3"/>
      <c r="G415" s="3"/>
      <c r="H415" s="3"/>
      <c r="I415" s="3" t="str">
        <f t="shared" si="1"/>
        <v>01/yyyy</v>
      </c>
      <c r="J415" s="3"/>
      <c r="K415" s="3"/>
      <c r="L415" s="3"/>
      <c r="M415" s="3"/>
      <c r="N415" s="3"/>
      <c r="O415" s="3"/>
      <c r="P415" s="3"/>
      <c r="Q415" s="3"/>
      <c r="R415" s="3"/>
      <c r="S415" s="3"/>
      <c r="T415" s="3"/>
      <c r="U415" s="3"/>
      <c r="V415" s="3"/>
      <c r="W415" s="3"/>
      <c r="X415" s="3"/>
      <c r="Y415" s="3"/>
      <c r="Z415" s="3"/>
    </row>
    <row r="416" spans="1:26">
      <c r="A416" s="8"/>
      <c r="B416" s="3"/>
      <c r="C416" s="3"/>
      <c r="D416" s="3"/>
      <c r="E416" s="3"/>
      <c r="F416" s="3"/>
      <c r="G416" s="3"/>
      <c r="H416" s="3"/>
      <c r="I416" s="3" t="str">
        <f t="shared" si="1"/>
        <v>01/yyyy</v>
      </c>
      <c r="J416" s="3"/>
      <c r="K416" s="3"/>
      <c r="L416" s="3"/>
      <c r="M416" s="3"/>
      <c r="N416" s="3"/>
      <c r="O416" s="3"/>
      <c r="P416" s="3"/>
      <c r="Q416" s="3"/>
      <c r="R416" s="3"/>
      <c r="S416" s="3"/>
      <c r="T416" s="3"/>
      <c r="U416" s="3"/>
      <c r="V416" s="3"/>
      <c r="W416" s="3"/>
      <c r="X416" s="3"/>
      <c r="Y416" s="3"/>
      <c r="Z416" s="3"/>
    </row>
    <row r="417" spans="1:26">
      <c r="A417" s="8"/>
      <c r="B417" s="3"/>
      <c r="C417" s="3"/>
      <c r="D417" s="3"/>
      <c r="E417" s="3"/>
      <c r="F417" s="3"/>
      <c r="G417" s="3"/>
      <c r="H417" s="3"/>
      <c r="I417" s="3" t="str">
        <f t="shared" si="1"/>
        <v>01/yyyy</v>
      </c>
      <c r="J417" s="3"/>
      <c r="K417" s="3"/>
      <c r="L417" s="3"/>
      <c r="M417" s="3"/>
      <c r="N417" s="3"/>
      <c r="O417" s="3"/>
      <c r="P417" s="3"/>
      <c r="Q417" s="3"/>
      <c r="R417" s="3"/>
      <c r="S417" s="3"/>
      <c r="T417" s="3"/>
      <c r="U417" s="3"/>
      <c r="V417" s="3"/>
      <c r="W417" s="3"/>
      <c r="X417" s="3"/>
      <c r="Y417" s="3"/>
      <c r="Z417" s="3"/>
    </row>
    <row r="418" spans="1:26">
      <c r="A418" s="8"/>
      <c r="B418" s="3"/>
      <c r="C418" s="3"/>
      <c r="D418" s="3"/>
      <c r="E418" s="3"/>
      <c r="F418" s="3"/>
      <c r="G418" s="3"/>
      <c r="H418" s="3"/>
      <c r="I418" s="3" t="str">
        <f t="shared" si="1"/>
        <v>01/yyyy</v>
      </c>
      <c r="J418" s="3"/>
      <c r="K418" s="3"/>
      <c r="L418" s="3"/>
      <c r="M418" s="3"/>
      <c r="N418" s="3"/>
      <c r="O418" s="3"/>
      <c r="P418" s="3"/>
      <c r="Q418" s="3"/>
      <c r="R418" s="3"/>
      <c r="S418" s="3"/>
      <c r="T418" s="3"/>
      <c r="U418" s="3"/>
      <c r="V418" s="3"/>
      <c r="W418" s="3"/>
      <c r="X418" s="3"/>
      <c r="Y418" s="3"/>
      <c r="Z418" s="3"/>
    </row>
    <row r="419" spans="1:26">
      <c r="A419" s="8"/>
      <c r="B419" s="3"/>
      <c r="C419" s="3"/>
      <c r="D419" s="3"/>
      <c r="E419" s="3"/>
      <c r="F419" s="3"/>
      <c r="G419" s="3"/>
      <c r="H419" s="3"/>
      <c r="I419" s="3" t="str">
        <f t="shared" si="1"/>
        <v>01/yyyy</v>
      </c>
      <c r="J419" s="3"/>
      <c r="K419" s="3"/>
      <c r="L419" s="3"/>
      <c r="M419" s="3"/>
      <c r="N419" s="3"/>
      <c r="O419" s="3"/>
      <c r="P419" s="3"/>
      <c r="Q419" s="3"/>
      <c r="R419" s="3"/>
      <c r="S419" s="3"/>
      <c r="T419" s="3"/>
      <c r="U419" s="3"/>
      <c r="V419" s="3"/>
      <c r="W419" s="3"/>
      <c r="X419" s="3"/>
      <c r="Y419" s="3"/>
      <c r="Z419" s="3"/>
    </row>
    <row r="420" spans="1:26">
      <c r="A420" s="8"/>
      <c r="B420" s="3"/>
      <c r="C420" s="3"/>
      <c r="D420" s="3"/>
      <c r="E420" s="3"/>
      <c r="F420" s="3"/>
      <c r="G420" s="3"/>
      <c r="H420" s="3"/>
      <c r="I420" s="3" t="str">
        <f t="shared" si="1"/>
        <v>01/yyyy</v>
      </c>
      <c r="J420" s="3"/>
      <c r="K420" s="3"/>
      <c r="L420" s="3"/>
      <c r="M420" s="3"/>
      <c r="N420" s="3"/>
      <c r="O420" s="3"/>
      <c r="P420" s="3"/>
      <c r="Q420" s="3"/>
      <c r="R420" s="3"/>
      <c r="S420" s="3"/>
      <c r="T420" s="3"/>
      <c r="U420" s="3"/>
      <c r="V420" s="3"/>
      <c r="W420" s="3"/>
      <c r="X420" s="3"/>
      <c r="Y420" s="3"/>
      <c r="Z420" s="3"/>
    </row>
    <row r="421" spans="1:26">
      <c r="A421" s="8"/>
      <c r="B421" s="3"/>
      <c r="C421" s="3"/>
      <c r="D421" s="3"/>
      <c r="E421" s="3"/>
      <c r="F421" s="3"/>
      <c r="G421" s="3"/>
      <c r="H421" s="3"/>
      <c r="I421" s="3" t="str">
        <f t="shared" si="1"/>
        <v>01/yyyy</v>
      </c>
      <c r="J421" s="3"/>
      <c r="K421" s="3"/>
      <c r="L421" s="3"/>
      <c r="M421" s="3"/>
      <c r="N421" s="3"/>
      <c r="O421" s="3"/>
      <c r="P421" s="3"/>
      <c r="Q421" s="3"/>
      <c r="R421" s="3"/>
      <c r="S421" s="3"/>
      <c r="T421" s="3"/>
      <c r="U421" s="3"/>
      <c r="V421" s="3"/>
      <c r="W421" s="3"/>
      <c r="X421" s="3"/>
      <c r="Y421" s="3"/>
      <c r="Z421" s="3"/>
    </row>
    <row r="422" spans="1:26">
      <c r="A422" s="8"/>
      <c r="B422" s="3"/>
      <c r="C422" s="3"/>
      <c r="D422" s="3"/>
      <c r="E422" s="3"/>
      <c r="F422" s="3"/>
      <c r="G422" s="3"/>
      <c r="H422" s="3"/>
      <c r="I422" s="3" t="str">
        <f t="shared" si="1"/>
        <v>01/yyyy</v>
      </c>
      <c r="J422" s="3"/>
      <c r="K422" s="3"/>
      <c r="L422" s="3"/>
      <c r="M422" s="3"/>
      <c r="N422" s="3"/>
      <c r="O422" s="3"/>
      <c r="P422" s="3"/>
      <c r="Q422" s="3"/>
      <c r="R422" s="3"/>
      <c r="S422" s="3"/>
      <c r="T422" s="3"/>
      <c r="U422" s="3"/>
      <c r="V422" s="3"/>
      <c r="W422" s="3"/>
      <c r="X422" s="3"/>
      <c r="Y422" s="3"/>
      <c r="Z422" s="3"/>
    </row>
    <row r="423" spans="1:26">
      <c r="A423" s="8"/>
      <c r="B423" s="3"/>
      <c r="C423" s="3"/>
      <c r="D423" s="3"/>
      <c r="E423" s="3"/>
      <c r="F423" s="3"/>
      <c r="G423" s="3"/>
      <c r="H423" s="3"/>
      <c r="I423" s="3" t="str">
        <f t="shared" si="1"/>
        <v>01/yyyy</v>
      </c>
      <c r="J423" s="3"/>
      <c r="K423" s="3"/>
      <c r="L423" s="3"/>
      <c r="M423" s="3"/>
      <c r="N423" s="3"/>
      <c r="O423" s="3"/>
      <c r="P423" s="3"/>
      <c r="Q423" s="3"/>
      <c r="R423" s="3"/>
      <c r="S423" s="3"/>
      <c r="T423" s="3"/>
      <c r="U423" s="3"/>
      <c r="V423" s="3"/>
      <c r="W423" s="3"/>
      <c r="X423" s="3"/>
      <c r="Y423" s="3"/>
      <c r="Z423" s="3"/>
    </row>
    <row r="424" spans="1:26">
      <c r="A424" s="8"/>
      <c r="B424" s="3"/>
      <c r="C424" s="3"/>
      <c r="D424" s="3"/>
      <c r="E424" s="3"/>
      <c r="F424" s="3"/>
      <c r="G424" s="3"/>
      <c r="H424" s="3"/>
      <c r="I424" s="3" t="str">
        <f t="shared" si="1"/>
        <v>01/yyyy</v>
      </c>
      <c r="J424" s="3"/>
      <c r="K424" s="3"/>
      <c r="L424" s="3"/>
      <c r="M424" s="3"/>
      <c r="N424" s="3"/>
      <c r="O424" s="3"/>
      <c r="P424" s="3"/>
      <c r="Q424" s="3"/>
      <c r="R424" s="3"/>
      <c r="S424" s="3"/>
      <c r="T424" s="3"/>
      <c r="U424" s="3"/>
      <c r="V424" s="3"/>
      <c r="W424" s="3"/>
      <c r="X424" s="3"/>
      <c r="Y424" s="3"/>
      <c r="Z424" s="3"/>
    </row>
    <row r="425" spans="1:26">
      <c r="A425" s="8"/>
      <c r="B425" s="3"/>
      <c r="C425" s="3"/>
      <c r="D425" s="3"/>
      <c r="E425" s="3"/>
      <c r="F425" s="3"/>
      <c r="G425" s="3"/>
      <c r="H425" s="3"/>
      <c r="I425" s="3" t="str">
        <f t="shared" si="1"/>
        <v>01/yyyy</v>
      </c>
      <c r="J425" s="3"/>
      <c r="K425" s="3"/>
      <c r="L425" s="3"/>
      <c r="M425" s="3"/>
      <c r="N425" s="3"/>
      <c r="O425" s="3"/>
      <c r="P425" s="3"/>
      <c r="Q425" s="3"/>
      <c r="R425" s="3"/>
      <c r="S425" s="3"/>
      <c r="T425" s="3"/>
      <c r="U425" s="3"/>
      <c r="V425" s="3"/>
      <c r="W425" s="3"/>
      <c r="X425" s="3"/>
      <c r="Y425" s="3"/>
      <c r="Z425" s="3"/>
    </row>
    <row r="426" spans="1:26">
      <c r="A426" s="8"/>
      <c r="B426" s="3"/>
      <c r="C426" s="3"/>
      <c r="D426" s="3"/>
      <c r="E426" s="3"/>
      <c r="F426" s="3"/>
      <c r="G426" s="3"/>
      <c r="H426" s="3"/>
      <c r="I426" s="3" t="str">
        <f t="shared" si="1"/>
        <v>01/yyyy</v>
      </c>
      <c r="J426" s="3"/>
      <c r="K426" s="3"/>
      <c r="L426" s="3"/>
      <c r="M426" s="3"/>
      <c r="N426" s="3"/>
      <c r="O426" s="3"/>
      <c r="P426" s="3"/>
      <c r="Q426" s="3"/>
      <c r="R426" s="3"/>
      <c r="S426" s="3"/>
      <c r="T426" s="3"/>
      <c r="U426" s="3"/>
      <c r="V426" s="3"/>
      <c r="W426" s="3"/>
      <c r="X426" s="3"/>
      <c r="Y426" s="3"/>
      <c r="Z426" s="3"/>
    </row>
    <row r="427" spans="1:26">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2"/>
  <sheetViews>
    <sheetView workbookViewId="0"/>
  </sheetViews>
  <sheetFormatPr defaultColWidth="12.5703125" defaultRowHeight="15.75" customHeight="1"/>
  <cols>
    <col min="6" max="6" width="21.42578125" customWidth="1"/>
    <col min="7" max="7" width="15.5703125" customWidth="1"/>
    <col min="8" max="8" width="17.7109375" customWidth="1"/>
    <col min="9" max="9" width="20.28515625" customWidth="1"/>
    <col min="10" max="10" width="19" customWidth="1"/>
    <col min="11" max="11" width="18.140625" customWidth="1"/>
    <col min="12" max="12" width="19.42578125" customWidth="1"/>
    <col min="13" max="13" width="21.140625" customWidth="1"/>
  </cols>
  <sheetData>
    <row r="1" spans="1:14">
      <c r="A1" s="15" t="s">
        <v>386</v>
      </c>
      <c r="B1" s="15" t="s">
        <v>387</v>
      </c>
      <c r="C1" s="15" t="s">
        <v>388</v>
      </c>
      <c r="D1" s="15" t="s">
        <v>389</v>
      </c>
      <c r="E1" s="15" t="s">
        <v>390</v>
      </c>
      <c r="F1" s="15" t="s">
        <v>391</v>
      </c>
      <c r="G1" s="15" t="s">
        <v>392</v>
      </c>
      <c r="H1" s="15" t="s">
        <v>393</v>
      </c>
      <c r="I1" s="15" t="s">
        <v>394</v>
      </c>
      <c r="J1" s="15" t="s">
        <v>395</v>
      </c>
      <c r="K1" s="15" t="s">
        <v>396</v>
      </c>
      <c r="L1" s="15" t="s">
        <v>397</v>
      </c>
      <c r="M1" s="16" t="s">
        <v>398</v>
      </c>
      <c r="N1" s="17" t="s">
        <v>399</v>
      </c>
    </row>
    <row r="2" spans="1:14">
      <c r="A2" s="13">
        <v>2026</v>
      </c>
      <c r="B2" s="16" t="s">
        <v>400</v>
      </c>
      <c r="C2" s="13">
        <v>134782.93</v>
      </c>
      <c r="D2" s="18">
        <v>10367.92</v>
      </c>
      <c r="E2" s="13">
        <v>321405.45</v>
      </c>
      <c r="F2" s="19">
        <v>7.9399999999999998E-2</v>
      </c>
      <c r="G2" s="18">
        <v>312651.39</v>
      </c>
      <c r="H2" s="18">
        <v>317117.84000000003</v>
      </c>
      <c r="I2" s="18">
        <v>321584.28999999998</v>
      </c>
      <c r="J2" s="13">
        <v>10085.530000000001</v>
      </c>
      <c r="K2" s="13">
        <v>10229.61</v>
      </c>
      <c r="L2" s="13">
        <v>10373.69</v>
      </c>
      <c r="M2" s="18">
        <v>297763.23</v>
      </c>
      <c r="N2" s="20">
        <v>46204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284"/>
  <sheetViews>
    <sheetView workbookViewId="0"/>
  </sheetViews>
  <sheetFormatPr defaultColWidth="12.5703125" defaultRowHeight="15.75" customHeight="1"/>
  <cols>
    <col min="1" max="1" width="20.5703125" customWidth="1"/>
    <col min="2" max="2" width="60.85546875" customWidth="1"/>
  </cols>
  <sheetData>
    <row r="1" spans="1:2" ht="12.75">
      <c r="A1" s="21" t="s">
        <v>0</v>
      </c>
      <c r="B1" s="22" t="s">
        <v>401</v>
      </c>
    </row>
    <row r="2" spans="1:2" ht="409.6" customHeight="1">
      <c r="A2" s="23">
        <v>45932</v>
      </c>
      <c r="B2" s="22" t="s">
        <v>402</v>
      </c>
    </row>
    <row r="3" spans="1:2" ht="408">
      <c r="A3" s="23">
        <v>45933</v>
      </c>
      <c r="B3" s="22" t="s">
        <v>403</v>
      </c>
    </row>
    <row r="4" spans="1:2" ht="409.5">
      <c r="A4" s="23">
        <v>45934</v>
      </c>
      <c r="B4" s="22" t="s">
        <v>404</v>
      </c>
    </row>
    <row r="5" spans="1:2" ht="409.5">
      <c r="A5" s="23">
        <v>45935</v>
      </c>
      <c r="B5" s="22" t="s">
        <v>405</v>
      </c>
    </row>
    <row r="6" spans="1:2" ht="409.5">
      <c r="A6" s="23">
        <v>45936</v>
      </c>
      <c r="B6" s="22" t="s">
        <v>406</v>
      </c>
    </row>
    <row r="7" spans="1:2" ht="409.5">
      <c r="A7" s="23">
        <v>45937</v>
      </c>
      <c r="B7" s="22" t="s">
        <v>407</v>
      </c>
    </row>
    <row r="8" spans="1:2" ht="409.5">
      <c r="A8" s="23">
        <v>45938</v>
      </c>
      <c r="B8" s="22" t="s">
        <v>408</v>
      </c>
    </row>
    <row r="9" spans="1:2" ht="409.5">
      <c r="A9" s="23">
        <v>45939</v>
      </c>
      <c r="B9" s="22" t="s">
        <v>409</v>
      </c>
    </row>
    <row r="10" spans="1:2" ht="409.5">
      <c r="A10" s="24">
        <v>45940</v>
      </c>
      <c r="B10" s="22" t="s">
        <v>410</v>
      </c>
    </row>
    <row r="11" spans="1:2" ht="409.5">
      <c r="A11" s="24">
        <v>45941</v>
      </c>
      <c r="B11" s="22" t="s">
        <v>411</v>
      </c>
    </row>
    <row r="12" spans="1:2" ht="409.5">
      <c r="A12" s="24">
        <v>45942</v>
      </c>
      <c r="B12" s="22" t="s">
        <v>412</v>
      </c>
    </row>
    <row r="13" spans="1:2" ht="409.5">
      <c r="A13" s="24">
        <v>45943</v>
      </c>
      <c r="B13" s="22" t="s">
        <v>413</v>
      </c>
    </row>
    <row r="14" spans="1:2" ht="409.5">
      <c r="A14" s="24">
        <v>45944</v>
      </c>
      <c r="B14" s="22" t="s">
        <v>414</v>
      </c>
    </row>
    <row r="15" spans="1:2" ht="409.5">
      <c r="A15" s="24">
        <v>45945</v>
      </c>
      <c r="B15" s="22" t="s">
        <v>415</v>
      </c>
    </row>
    <row r="16" spans="1:2" ht="409.5">
      <c r="A16" s="24">
        <v>45946</v>
      </c>
      <c r="B16" s="22" t="s">
        <v>416</v>
      </c>
    </row>
    <row r="17" spans="1:2" ht="409.5">
      <c r="A17" s="24">
        <v>45947</v>
      </c>
      <c r="B17" s="22" t="s">
        <v>417</v>
      </c>
    </row>
    <row r="18" spans="1:2" ht="409.5">
      <c r="A18" s="24">
        <v>45948</v>
      </c>
      <c r="B18" s="22" t="s">
        <v>418</v>
      </c>
    </row>
    <row r="19" spans="1:2" ht="409.5">
      <c r="A19" s="24">
        <v>45949</v>
      </c>
      <c r="B19" s="22" t="s">
        <v>419</v>
      </c>
    </row>
    <row r="20" spans="1:2" ht="409.5">
      <c r="A20" s="24">
        <v>45950</v>
      </c>
      <c r="B20" s="22" t="s">
        <v>420</v>
      </c>
    </row>
    <row r="21" spans="1:2" ht="409.5">
      <c r="A21" s="24">
        <v>45951</v>
      </c>
      <c r="B21" s="22" t="s">
        <v>421</v>
      </c>
    </row>
    <row r="22" spans="1:2" ht="409.5">
      <c r="A22" s="24">
        <v>45952</v>
      </c>
      <c r="B22" s="22" t="s">
        <v>422</v>
      </c>
    </row>
    <row r="23" spans="1:2" ht="409.5">
      <c r="A23" s="24">
        <v>45953</v>
      </c>
      <c r="B23" s="22" t="s">
        <v>423</v>
      </c>
    </row>
    <row r="24" spans="1:2" ht="409.5">
      <c r="A24" s="24">
        <v>45954</v>
      </c>
      <c r="B24" s="22" t="s">
        <v>424</v>
      </c>
    </row>
    <row r="25" spans="1:2" ht="409.5">
      <c r="A25" s="24">
        <v>45955</v>
      </c>
      <c r="B25" s="22" t="s">
        <v>425</v>
      </c>
    </row>
    <row r="26" spans="1:2" ht="409.5">
      <c r="A26" s="24">
        <v>45956</v>
      </c>
      <c r="B26" s="22" t="s">
        <v>426</v>
      </c>
    </row>
    <row r="27" spans="1:2" ht="409.5">
      <c r="A27" s="24">
        <v>45957</v>
      </c>
      <c r="B27" s="22" t="s">
        <v>427</v>
      </c>
    </row>
    <row r="28" spans="1:2" ht="409.5">
      <c r="A28" s="24">
        <v>45961</v>
      </c>
      <c r="B28" s="22" t="s">
        <v>428</v>
      </c>
    </row>
    <row r="29" spans="1:2" ht="409.5">
      <c r="A29" s="23">
        <v>45963</v>
      </c>
      <c r="B29" s="22" t="s">
        <v>429</v>
      </c>
    </row>
    <row r="30" spans="1:2" ht="409.5">
      <c r="A30" s="23">
        <v>45964</v>
      </c>
      <c r="B30" s="22" t="s">
        <v>430</v>
      </c>
    </row>
    <row r="31" spans="1:2" ht="409.5">
      <c r="A31" s="23">
        <v>45965</v>
      </c>
      <c r="B31" s="22" t="s">
        <v>431</v>
      </c>
    </row>
    <row r="32" spans="1:2" ht="409.5">
      <c r="A32" s="23">
        <v>45966</v>
      </c>
      <c r="B32" s="22" t="s">
        <v>432</v>
      </c>
    </row>
    <row r="33" spans="1:2" ht="408">
      <c r="A33" s="23">
        <v>45967</v>
      </c>
      <c r="B33" s="22" t="s">
        <v>433</v>
      </c>
    </row>
    <row r="34" spans="1:2" ht="409.5">
      <c r="A34" s="23">
        <v>45968</v>
      </c>
      <c r="B34" s="22" t="s">
        <v>434</v>
      </c>
    </row>
    <row r="35" spans="1:2" ht="409.5">
      <c r="A35" s="23">
        <v>45968</v>
      </c>
      <c r="B35" s="22" t="s">
        <v>435</v>
      </c>
    </row>
    <row r="36" spans="1:2" ht="409.5">
      <c r="A36" s="23">
        <v>45969</v>
      </c>
      <c r="B36" s="22" t="s">
        <v>436</v>
      </c>
    </row>
    <row r="37" spans="1:2" ht="409.5">
      <c r="A37" s="23">
        <v>45970</v>
      </c>
      <c r="B37" s="22" t="s">
        <v>437</v>
      </c>
    </row>
    <row r="38" spans="1:2" ht="409.5">
      <c r="A38" s="23">
        <v>45970</v>
      </c>
      <c r="B38" s="22" t="s">
        <v>438</v>
      </c>
    </row>
    <row r="39" spans="1:2" ht="409.5">
      <c r="A39" s="24">
        <v>45971</v>
      </c>
      <c r="B39" s="22" t="s">
        <v>439</v>
      </c>
    </row>
    <row r="40" spans="1:2" ht="409.5">
      <c r="A40" s="24">
        <v>45972</v>
      </c>
      <c r="B40" s="22" t="s">
        <v>440</v>
      </c>
    </row>
    <row r="41" spans="1:2" ht="409.5">
      <c r="A41" s="24">
        <v>45973</v>
      </c>
      <c r="B41" s="22" t="s">
        <v>441</v>
      </c>
    </row>
    <row r="42" spans="1:2" ht="409.5">
      <c r="A42" s="24">
        <v>45974</v>
      </c>
      <c r="B42" s="22" t="s">
        <v>442</v>
      </c>
    </row>
    <row r="43" spans="1:2" ht="409.5">
      <c r="A43" s="24">
        <v>45975</v>
      </c>
      <c r="B43" s="22" t="s">
        <v>443</v>
      </c>
    </row>
    <row r="44" spans="1:2" ht="409.5">
      <c r="A44" s="24">
        <v>45976</v>
      </c>
      <c r="B44" s="22" t="s">
        <v>444</v>
      </c>
    </row>
    <row r="45" spans="1:2" ht="409.5">
      <c r="A45" s="24">
        <v>45977</v>
      </c>
      <c r="B45" s="22" t="s">
        <v>445</v>
      </c>
    </row>
    <row r="46" spans="1:2" ht="409.5">
      <c r="A46" s="24">
        <v>45978</v>
      </c>
      <c r="B46" s="22" t="s">
        <v>446</v>
      </c>
    </row>
    <row r="47" spans="1:2" ht="409.5">
      <c r="A47" s="24">
        <v>45979</v>
      </c>
      <c r="B47" s="22" t="s">
        <v>447</v>
      </c>
    </row>
    <row r="48" spans="1:2" ht="409.5">
      <c r="A48" s="24">
        <v>45980</v>
      </c>
      <c r="B48" s="22" t="s">
        <v>448</v>
      </c>
    </row>
    <row r="49" spans="1:2" ht="409.5">
      <c r="A49" s="24">
        <v>45981</v>
      </c>
      <c r="B49" s="22" t="s">
        <v>449</v>
      </c>
    </row>
    <row r="50" spans="1:2" ht="409.5">
      <c r="A50" s="24">
        <v>45982</v>
      </c>
      <c r="B50" s="22" t="s">
        <v>450</v>
      </c>
    </row>
    <row r="51" spans="1:2" ht="409.5">
      <c r="A51" s="24">
        <v>45983</v>
      </c>
      <c r="B51" s="22" t="s">
        <v>451</v>
      </c>
    </row>
    <row r="52" spans="1:2" ht="409.5">
      <c r="A52" s="24">
        <v>45984</v>
      </c>
      <c r="B52" s="22" t="s">
        <v>452</v>
      </c>
    </row>
    <row r="53" spans="1:2" ht="409.5">
      <c r="A53" s="24">
        <v>45985</v>
      </c>
      <c r="B53" s="22" t="s">
        <v>453</v>
      </c>
    </row>
    <row r="54" spans="1:2" ht="409.5">
      <c r="A54" s="24">
        <v>45986</v>
      </c>
      <c r="B54" s="22" t="s">
        <v>454</v>
      </c>
    </row>
    <row r="55" spans="1:2" ht="409.5">
      <c r="A55" s="24">
        <v>45987</v>
      </c>
      <c r="B55" s="22" t="s">
        <v>455</v>
      </c>
    </row>
    <row r="56" spans="1:2" ht="409.5">
      <c r="A56" s="24">
        <v>45987</v>
      </c>
      <c r="B56" s="22" t="s">
        <v>456</v>
      </c>
    </row>
    <row r="57" spans="1:2" ht="409.5">
      <c r="A57" s="24">
        <v>45988</v>
      </c>
      <c r="B57" s="22" t="s">
        <v>457</v>
      </c>
    </row>
    <row r="58" spans="1:2" ht="409.5">
      <c r="A58" s="24">
        <v>45989</v>
      </c>
      <c r="B58" s="22" t="s">
        <v>458</v>
      </c>
    </row>
    <row r="59" spans="1:2" ht="409.5">
      <c r="A59" s="24">
        <v>45991</v>
      </c>
      <c r="B59" s="22" t="s">
        <v>459</v>
      </c>
    </row>
    <row r="60" spans="1:2" ht="409.5">
      <c r="A60" s="23">
        <v>45992</v>
      </c>
      <c r="B60" s="22" t="s">
        <v>460</v>
      </c>
    </row>
    <row r="61" spans="1:2" ht="409.5">
      <c r="A61" s="23">
        <v>45993</v>
      </c>
      <c r="B61" s="22" t="s">
        <v>461</v>
      </c>
    </row>
    <row r="62" spans="1:2" ht="409.5">
      <c r="A62" s="23">
        <v>45994</v>
      </c>
      <c r="B62" s="22" t="s">
        <v>462</v>
      </c>
    </row>
    <row r="63" spans="1:2" ht="409.5">
      <c r="A63" s="23">
        <v>45995</v>
      </c>
      <c r="B63" s="22" t="s">
        <v>463</v>
      </c>
    </row>
    <row r="64" spans="1:2" ht="409.5">
      <c r="A64" s="23">
        <v>45996</v>
      </c>
      <c r="B64" s="22" t="s">
        <v>464</v>
      </c>
    </row>
    <row r="65" spans="1:2" ht="409.5">
      <c r="A65" s="23">
        <v>45997</v>
      </c>
      <c r="B65" s="22" t="s">
        <v>465</v>
      </c>
    </row>
    <row r="66" spans="1:2" ht="409.5">
      <c r="A66" s="23">
        <v>45998</v>
      </c>
      <c r="B66" s="22" t="s">
        <v>466</v>
      </c>
    </row>
    <row r="67" spans="1:2" ht="409.5">
      <c r="A67" s="23">
        <v>45999</v>
      </c>
      <c r="B67" s="22" t="s">
        <v>467</v>
      </c>
    </row>
    <row r="68" spans="1:2" ht="409.5">
      <c r="A68" s="23">
        <v>46000</v>
      </c>
      <c r="B68" s="22" t="s">
        <v>468</v>
      </c>
    </row>
    <row r="69" spans="1:2" ht="409.5">
      <c r="A69" s="24">
        <v>46001</v>
      </c>
      <c r="B69" s="22" t="s">
        <v>469</v>
      </c>
    </row>
    <row r="70" spans="1:2" ht="409.5">
      <c r="A70" s="24">
        <v>46002</v>
      </c>
      <c r="B70" s="22" t="s">
        <v>470</v>
      </c>
    </row>
    <row r="71" spans="1:2" ht="409.5">
      <c r="A71" s="24">
        <v>46003</v>
      </c>
      <c r="B71" s="22" t="s">
        <v>471</v>
      </c>
    </row>
    <row r="72" spans="1:2" ht="409.5">
      <c r="A72" s="24">
        <v>46004</v>
      </c>
      <c r="B72" s="22" t="s">
        <v>472</v>
      </c>
    </row>
    <row r="73" spans="1:2" ht="409.5">
      <c r="A73" s="24">
        <v>46005</v>
      </c>
      <c r="B73" s="22" t="s">
        <v>473</v>
      </c>
    </row>
    <row r="74" spans="1:2" ht="409.5">
      <c r="A74" s="24">
        <v>46006</v>
      </c>
      <c r="B74" s="22" t="s">
        <v>474</v>
      </c>
    </row>
    <row r="75" spans="1:2" ht="409.5">
      <c r="A75" s="24">
        <v>46008</v>
      </c>
      <c r="B75" s="22" t="s">
        <v>475</v>
      </c>
    </row>
    <row r="76" spans="1:2" ht="409.5">
      <c r="A76" s="24">
        <v>46009</v>
      </c>
      <c r="B76" s="22" t="s">
        <v>476</v>
      </c>
    </row>
    <row r="77" spans="1:2" ht="409.5">
      <c r="A77" s="24">
        <v>46010</v>
      </c>
      <c r="B77" s="22" t="s">
        <v>477</v>
      </c>
    </row>
    <row r="78" spans="1:2" ht="409.5">
      <c r="A78" s="24">
        <v>46010</v>
      </c>
      <c r="B78" s="22" t="s">
        <v>478</v>
      </c>
    </row>
    <row r="79" spans="1:2" ht="409.5">
      <c r="A79" s="24">
        <v>46011</v>
      </c>
      <c r="B79" s="22" t="s">
        <v>479</v>
      </c>
    </row>
    <row r="80" spans="1:2" ht="409.5">
      <c r="A80" s="24">
        <v>46011</v>
      </c>
      <c r="B80" s="22" t="s">
        <v>480</v>
      </c>
    </row>
    <row r="81" spans="1:2" ht="409.5">
      <c r="A81" s="24">
        <v>46012</v>
      </c>
      <c r="B81" s="22" t="s">
        <v>481</v>
      </c>
    </row>
    <row r="82" spans="1:2" ht="409.5">
      <c r="A82" s="24">
        <v>46015</v>
      </c>
      <c r="B82" s="22" t="s">
        <v>482</v>
      </c>
    </row>
    <row r="83" spans="1:2" ht="409.5">
      <c r="A83" s="24">
        <v>46016</v>
      </c>
      <c r="B83" s="22" t="s">
        <v>483</v>
      </c>
    </row>
    <row r="84" spans="1:2" ht="409.5">
      <c r="A84" s="24">
        <v>46016</v>
      </c>
      <c r="B84" s="22" t="s">
        <v>484</v>
      </c>
    </row>
    <row r="85" spans="1:2" ht="409.5">
      <c r="A85" s="24">
        <v>46017</v>
      </c>
      <c r="B85" s="22" t="s">
        <v>485</v>
      </c>
    </row>
    <row r="86" spans="1:2" ht="409.5">
      <c r="A86" s="24">
        <v>46018</v>
      </c>
      <c r="B86" s="22" t="s">
        <v>486</v>
      </c>
    </row>
    <row r="87" spans="1:2" ht="409.5">
      <c r="A87" s="24">
        <v>46019</v>
      </c>
      <c r="B87" s="22" t="s">
        <v>487</v>
      </c>
    </row>
    <row r="88" spans="1:2" ht="409.5">
      <c r="A88" s="24">
        <v>46020</v>
      </c>
      <c r="B88" s="22" t="s">
        <v>488</v>
      </c>
    </row>
    <row r="89" spans="1:2" ht="409.5">
      <c r="A89" s="24">
        <v>46021</v>
      </c>
      <c r="B89" s="22" t="s">
        <v>489</v>
      </c>
    </row>
    <row r="90" spans="1:2" ht="409.5">
      <c r="A90" s="24">
        <v>46022</v>
      </c>
      <c r="B90" s="22" t="s">
        <v>490</v>
      </c>
    </row>
    <row r="91" spans="1:2" ht="409.5">
      <c r="A91" s="23">
        <v>46024</v>
      </c>
      <c r="B91" s="22" t="s">
        <v>491</v>
      </c>
    </row>
    <row r="92" spans="1:2" ht="409.5">
      <c r="A92" s="23">
        <v>46025</v>
      </c>
      <c r="B92" s="22" t="s">
        <v>492</v>
      </c>
    </row>
    <row r="93" spans="1:2" ht="409.5">
      <c r="A93" s="23">
        <v>46026</v>
      </c>
      <c r="B93" s="22" t="s">
        <v>493</v>
      </c>
    </row>
    <row r="94" spans="1:2" ht="409.5">
      <c r="A94" s="23">
        <v>46027</v>
      </c>
      <c r="B94" s="22" t="s">
        <v>494</v>
      </c>
    </row>
    <row r="95" spans="1:2" ht="408">
      <c r="A95" s="23">
        <v>46028</v>
      </c>
      <c r="B95" s="22" t="s">
        <v>495</v>
      </c>
    </row>
    <row r="96" spans="1:2" ht="409.5">
      <c r="A96" s="23">
        <v>46029</v>
      </c>
      <c r="B96" s="22" t="s">
        <v>496</v>
      </c>
    </row>
    <row r="97" spans="1:2" ht="409.5">
      <c r="A97" s="23">
        <v>46030</v>
      </c>
      <c r="B97" s="22" t="s">
        <v>497</v>
      </c>
    </row>
    <row r="98" spans="1:2" ht="409.5">
      <c r="A98" s="23">
        <v>46031</v>
      </c>
      <c r="B98" s="22" t="s">
        <v>498</v>
      </c>
    </row>
    <row r="99" spans="1:2" ht="409.5">
      <c r="A99" s="23">
        <v>46032</v>
      </c>
      <c r="B99" s="22" t="s">
        <v>499</v>
      </c>
    </row>
    <row r="100" spans="1:2" ht="409.5">
      <c r="A100" s="23">
        <v>46033</v>
      </c>
      <c r="B100" s="22" t="s">
        <v>500</v>
      </c>
    </row>
    <row r="101" spans="1:2" ht="409.5">
      <c r="A101" s="23">
        <v>46034</v>
      </c>
      <c r="B101" s="22" t="s">
        <v>501</v>
      </c>
    </row>
    <row r="102" spans="1:2" ht="409.5">
      <c r="A102" s="23">
        <v>46035</v>
      </c>
      <c r="B102" s="22" t="s">
        <v>502</v>
      </c>
    </row>
    <row r="103" spans="1:2" ht="409.5">
      <c r="A103" s="23">
        <v>46036</v>
      </c>
      <c r="B103" s="22" t="s">
        <v>503</v>
      </c>
    </row>
    <row r="104" spans="1:2" ht="409.5">
      <c r="A104" s="23">
        <v>46037</v>
      </c>
      <c r="B104" s="22" t="s">
        <v>504</v>
      </c>
    </row>
    <row r="105" spans="1:2" ht="409.5">
      <c r="A105" s="23">
        <v>46038</v>
      </c>
      <c r="B105" s="22" t="s">
        <v>505</v>
      </c>
    </row>
    <row r="106" spans="1:2" ht="409.5">
      <c r="A106" s="23">
        <v>46039</v>
      </c>
      <c r="B106" s="22" t="s">
        <v>506</v>
      </c>
    </row>
    <row r="107" spans="1:2" ht="409.5">
      <c r="A107" s="23">
        <v>46040</v>
      </c>
      <c r="B107" s="22" t="s">
        <v>507</v>
      </c>
    </row>
    <row r="108" spans="1:2" ht="409.5">
      <c r="A108" s="23">
        <v>46041</v>
      </c>
      <c r="B108" s="22" t="s">
        <v>508</v>
      </c>
    </row>
    <row r="109" spans="1:2" ht="409.5">
      <c r="A109" s="23">
        <v>46042</v>
      </c>
      <c r="B109" s="22" t="s">
        <v>509</v>
      </c>
    </row>
    <row r="110" spans="1:2" ht="409.5">
      <c r="A110" s="23">
        <v>46042</v>
      </c>
      <c r="B110" s="22" t="s">
        <v>510</v>
      </c>
    </row>
    <row r="111" spans="1:2" ht="409.5">
      <c r="A111" s="23">
        <v>46043</v>
      </c>
      <c r="B111" s="22" t="s">
        <v>511</v>
      </c>
    </row>
    <row r="112" spans="1:2" ht="409.5">
      <c r="A112" s="23">
        <v>46044</v>
      </c>
      <c r="B112" s="22" t="s">
        <v>512</v>
      </c>
    </row>
    <row r="113" spans="1:2" ht="409.5">
      <c r="A113" s="23">
        <v>46045</v>
      </c>
      <c r="B113" s="22" t="s">
        <v>513</v>
      </c>
    </row>
    <row r="114" spans="1:2" ht="409.5">
      <c r="A114" s="23">
        <v>46046</v>
      </c>
      <c r="B114" s="22" t="s">
        <v>514</v>
      </c>
    </row>
    <row r="115" spans="1:2" ht="409.5">
      <c r="A115" s="23">
        <v>46047</v>
      </c>
      <c r="B115" s="22" t="s">
        <v>515</v>
      </c>
    </row>
    <row r="116" spans="1:2" ht="409.5">
      <c r="A116" s="23">
        <v>46048</v>
      </c>
      <c r="B116" s="22" t="s">
        <v>516</v>
      </c>
    </row>
    <row r="117" spans="1:2" ht="409.5">
      <c r="A117" s="23">
        <v>46049</v>
      </c>
      <c r="B117" s="22" t="s">
        <v>517</v>
      </c>
    </row>
    <row r="118" spans="1:2" ht="409.5">
      <c r="A118" s="23">
        <v>46050</v>
      </c>
      <c r="B118" s="22" t="s">
        <v>518</v>
      </c>
    </row>
    <row r="119" spans="1:2" ht="409.5">
      <c r="A119" s="23">
        <v>46051</v>
      </c>
      <c r="B119" s="22" t="s">
        <v>519</v>
      </c>
    </row>
    <row r="120" spans="1:2" ht="409.5">
      <c r="A120" s="23">
        <v>46052</v>
      </c>
      <c r="B120" s="22" t="s">
        <v>520</v>
      </c>
    </row>
    <row r="121" spans="1:2" ht="409.5">
      <c r="A121" s="23">
        <v>46053</v>
      </c>
      <c r="B121" s="22" t="s">
        <v>521</v>
      </c>
    </row>
    <row r="122" spans="1:2" ht="382.5">
      <c r="A122" s="23">
        <v>46055</v>
      </c>
      <c r="B122" s="22" t="s">
        <v>522</v>
      </c>
    </row>
    <row r="123" spans="1:2" ht="409.5">
      <c r="A123" s="23">
        <v>46056</v>
      </c>
      <c r="B123" s="22" t="s">
        <v>523</v>
      </c>
    </row>
    <row r="124" spans="1:2" ht="409.5">
      <c r="A124" s="23">
        <v>46057</v>
      </c>
      <c r="B124" s="22" t="s">
        <v>524</v>
      </c>
    </row>
    <row r="125" spans="1:2" ht="409.5">
      <c r="A125" s="23">
        <v>46058</v>
      </c>
      <c r="B125" s="22" t="s">
        <v>525</v>
      </c>
    </row>
    <row r="126" spans="1:2" ht="409.5">
      <c r="A126" s="23">
        <v>46059</v>
      </c>
      <c r="B126" s="22" t="s">
        <v>526</v>
      </c>
    </row>
    <row r="127" spans="1:2" ht="409.5">
      <c r="A127" s="23">
        <v>46060</v>
      </c>
      <c r="B127" s="22" t="s">
        <v>527</v>
      </c>
    </row>
    <row r="128" spans="1:2" ht="409.5">
      <c r="A128" s="23">
        <v>46061</v>
      </c>
      <c r="B128" s="22" t="s">
        <v>528</v>
      </c>
    </row>
    <row r="129" spans="1:2" ht="409.5">
      <c r="A129" s="23">
        <v>46062</v>
      </c>
      <c r="B129" s="22" t="s">
        <v>529</v>
      </c>
    </row>
    <row r="130" spans="1:2" ht="409.5">
      <c r="A130" s="23">
        <v>46063</v>
      </c>
      <c r="B130" s="22" t="s">
        <v>530</v>
      </c>
    </row>
    <row r="131" spans="1:2" ht="409.5">
      <c r="A131" s="23">
        <v>46064</v>
      </c>
      <c r="B131" s="22" t="s">
        <v>531</v>
      </c>
    </row>
    <row r="132" spans="1:2" ht="409.5">
      <c r="A132" s="23">
        <v>46065</v>
      </c>
      <c r="B132" s="22" t="s">
        <v>532</v>
      </c>
    </row>
    <row r="133" spans="1:2" ht="409.5">
      <c r="A133" s="23">
        <v>46066</v>
      </c>
      <c r="B133" s="22" t="s">
        <v>533</v>
      </c>
    </row>
    <row r="134" spans="1:2" ht="409.5">
      <c r="A134" s="23">
        <v>46067</v>
      </c>
      <c r="B134" s="22" t="s">
        <v>534</v>
      </c>
    </row>
    <row r="135" spans="1:2" ht="409.5">
      <c r="A135" s="23">
        <v>46068</v>
      </c>
      <c r="B135" s="22" t="s">
        <v>535</v>
      </c>
    </row>
    <row r="136" spans="1:2" ht="409.5">
      <c r="A136" s="23">
        <v>46069</v>
      </c>
      <c r="B136" s="22" t="s">
        <v>536</v>
      </c>
    </row>
    <row r="137" spans="1:2" ht="409.5">
      <c r="A137" s="23">
        <v>46070</v>
      </c>
      <c r="B137" s="22" t="s">
        <v>537</v>
      </c>
    </row>
    <row r="138" spans="1:2" ht="409.5">
      <c r="A138" s="23">
        <v>46071</v>
      </c>
      <c r="B138" s="22" t="s">
        <v>538</v>
      </c>
    </row>
    <row r="139" spans="1:2" ht="409.5">
      <c r="A139" s="23">
        <v>46072</v>
      </c>
      <c r="B139" s="22" t="s">
        <v>539</v>
      </c>
    </row>
    <row r="140" spans="1:2" ht="409.5">
      <c r="A140" s="23">
        <v>46073</v>
      </c>
      <c r="B140" s="22" t="s">
        <v>540</v>
      </c>
    </row>
    <row r="141" spans="1:2" ht="409.5">
      <c r="A141" s="23">
        <v>46074</v>
      </c>
      <c r="B141" s="22" t="s">
        <v>541</v>
      </c>
    </row>
    <row r="142" spans="1:2" ht="409.5">
      <c r="A142" s="23">
        <v>46075</v>
      </c>
      <c r="B142" s="22" t="s">
        <v>542</v>
      </c>
    </row>
    <row r="143" spans="1:2" ht="409.5">
      <c r="A143" s="23">
        <v>46076</v>
      </c>
      <c r="B143" s="22" t="s">
        <v>543</v>
      </c>
    </row>
    <row r="144" spans="1:2" ht="409.5">
      <c r="A144" s="23">
        <v>46077</v>
      </c>
      <c r="B144" s="22" t="s">
        <v>544</v>
      </c>
    </row>
    <row r="145" spans="1:2" ht="409.5">
      <c r="A145" s="23">
        <v>46078</v>
      </c>
      <c r="B145" s="22" t="s">
        <v>545</v>
      </c>
    </row>
    <row r="146" spans="1:2" ht="409.5">
      <c r="A146" s="23">
        <v>46079</v>
      </c>
      <c r="B146" s="22" t="s">
        <v>546</v>
      </c>
    </row>
    <row r="147" spans="1:2" ht="409.5">
      <c r="A147" s="23">
        <v>46080</v>
      </c>
      <c r="B147" s="22" t="s">
        <v>547</v>
      </c>
    </row>
    <row r="148" spans="1:2" ht="409.5">
      <c r="A148" s="23">
        <v>46081</v>
      </c>
      <c r="B148" s="22" t="s">
        <v>548</v>
      </c>
    </row>
    <row r="149" spans="1:2" ht="409.5">
      <c r="A149" s="23">
        <v>46083</v>
      </c>
      <c r="B149" s="22" t="s">
        <v>549</v>
      </c>
    </row>
    <row r="150" spans="1:2" ht="409.5">
      <c r="A150" s="23">
        <v>46084</v>
      </c>
      <c r="B150" s="22" t="s">
        <v>550</v>
      </c>
    </row>
    <row r="151" spans="1:2" ht="409.5">
      <c r="A151" s="23">
        <v>46085</v>
      </c>
      <c r="B151" s="22" t="s">
        <v>551</v>
      </c>
    </row>
    <row r="152" spans="1:2" ht="409.5">
      <c r="A152" s="23">
        <v>46086</v>
      </c>
      <c r="B152" s="22" t="s">
        <v>552</v>
      </c>
    </row>
    <row r="153" spans="1:2" ht="409.5">
      <c r="A153" s="23">
        <v>46087</v>
      </c>
      <c r="B153" s="22" t="s">
        <v>553</v>
      </c>
    </row>
    <row r="154" spans="1:2" ht="409.5">
      <c r="A154" s="23">
        <v>46088</v>
      </c>
      <c r="B154" s="22" t="s">
        <v>554</v>
      </c>
    </row>
    <row r="155" spans="1:2" ht="409.5">
      <c r="A155" s="23">
        <v>46089</v>
      </c>
      <c r="B155" s="22" t="s">
        <v>555</v>
      </c>
    </row>
    <row r="156" spans="1:2" ht="409.5">
      <c r="A156" s="23">
        <v>46090</v>
      </c>
      <c r="B156" s="22" t="s">
        <v>556</v>
      </c>
    </row>
    <row r="157" spans="1:2" ht="409.5">
      <c r="A157" s="23">
        <v>46091</v>
      </c>
      <c r="B157" s="22" t="s">
        <v>557</v>
      </c>
    </row>
    <row r="158" spans="1:2" ht="409.5">
      <c r="A158" s="23">
        <v>46092</v>
      </c>
      <c r="B158" s="22" t="s">
        <v>558</v>
      </c>
    </row>
    <row r="159" spans="1:2" ht="409.5">
      <c r="A159" s="23">
        <v>46093</v>
      </c>
      <c r="B159" s="22" t="s">
        <v>559</v>
      </c>
    </row>
    <row r="160" spans="1:2" ht="409.5">
      <c r="A160" s="23">
        <v>46094</v>
      </c>
      <c r="B160" s="22" t="s">
        <v>560</v>
      </c>
    </row>
    <row r="161" spans="1:2" ht="409.5">
      <c r="A161" s="23">
        <v>46095</v>
      </c>
      <c r="B161" s="22" t="s">
        <v>561</v>
      </c>
    </row>
    <row r="162" spans="1:2" ht="409.5">
      <c r="A162" s="23">
        <v>46096</v>
      </c>
      <c r="B162" s="22" t="s">
        <v>562</v>
      </c>
    </row>
    <row r="163" spans="1:2" ht="409.5">
      <c r="A163" s="23">
        <v>46097</v>
      </c>
      <c r="B163" s="22" t="s">
        <v>563</v>
      </c>
    </row>
    <row r="164" spans="1:2" ht="409.5">
      <c r="A164" s="23">
        <v>46098</v>
      </c>
      <c r="B164" s="22" t="s">
        <v>564</v>
      </c>
    </row>
    <row r="165" spans="1:2" ht="409.5">
      <c r="A165" s="23">
        <v>46099</v>
      </c>
      <c r="B165" s="22" t="s">
        <v>565</v>
      </c>
    </row>
    <row r="166" spans="1:2" ht="409.5">
      <c r="A166" s="23">
        <v>46100</v>
      </c>
      <c r="B166" s="22" t="s">
        <v>566</v>
      </c>
    </row>
    <row r="167" spans="1:2" ht="409.5">
      <c r="A167" s="23">
        <v>46101</v>
      </c>
      <c r="B167" s="22" t="s">
        <v>567</v>
      </c>
    </row>
    <row r="168" spans="1:2" ht="409.5">
      <c r="A168" s="23">
        <v>46102</v>
      </c>
      <c r="B168" s="22" t="s">
        <v>568</v>
      </c>
    </row>
    <row r="169" spans="1:2" ht="409.5">
      <c r="A169" s="23">
        <v>46103</v>
      </c>
      <c r="B169" s="22" t="s">
        <v>569</v>
      </c>
    </row>
    <row r="170" spans="1:2" ht="409.5">
      <c r="A170" s="23">
        <v>46104</v>
      </c>
      <c r="B170" s="22" t="s">
        <v>570</v>
      </c>
    </row>
    <row r="171" spans="1:2" ht="409.5">
      <c r="A171" s="23">
        <v>46105</v>
      </c>
      <c r="B171" s="22" t="s">
        <v>571</v>
      </c>
    </row>
    <row r="172" spans="1:2" ht="409.5">
      <c r="A172" s="23">
        <v>46106</v>
      </c>
      <c r="B172" s="22" t="s">
        <v>572</v>
      </c>
    </row>
    <row r="173" spans="1:2" ht="409.5">
      <c r="A173" s="23">
        <v>46107</v>
      </c>
      <c r="B173" s="22" t="s">
        <v>573</v>
      </c>
    </row>
    <row r="174" spans="1:2" ht="409.5">
      <c r="A174" s="23">
        <v>46108</v>
      </c>
      <c r="B174" s="22" t="s">
        <v>574</v>
      </c>
    </row>
    <row r="175" spans="1:2" ht="409.5">
      <c r="A175" s="23">
        <v>46109</v>
      </c>
      <c r="B175" s="22" t="s">
        <v>575</v>
      </c>
    </row>
    <row r="176" spans="1:2" ht="409.5">
      <c r="A176" s="23">
        <v>46110</v>
      </c>
      <c r="B176" s="22" t="s">
        <v>576</v>
      </c>
    </row>
    <row r="177" spans="1:2" ht="409.5">
      <c r="A177" s="23">
        <v>46111</v>
      </c>
      <c r="B177" s="22" t="s">
        <v>577</v>
      </c>
    </row>
    <row r="178" spans="1:2" ht="409.5">
      <c r="A178" s="23">
        <v>46113</v>
      </c>
      <c r="B178" s="22" t="s">
        <v>578</v>
      </c>
    </row>
    <row r="179" spans="1:2" ht="409.5">
      <c r="A179" s="23">
        <v>46114</v>
      </c>
      <c r="B179" s="22" t="s">
        <v>579</v>
      </c>
    </row>
    <row r="180" spans="1:2" ht="409.5">
      <c r="A180" s="23">
        <v>46115</v>
      </c>
      <c r="B180" s="22" t="s">
        <v>580</v>
      </c>
    </row>
    <row r="181" spans="1:2" ht="409.5">
      <c r="A181" s="23">
        <v>46116</v>
      </c>
      <c r="B181" s="22" t="s">
        <v>581</v>
      </c>
    </row>
    <row r="182" spans="1:2" ht="409.5">
      <c r="A182" s="23">
        <v>46117</v>
      </c>
      <c r="B182" s="22" t="s">
        <v>582</v>
      </c>
    </row>
    <row r="183" spans="1:2" ht="409.5">
      <c r="A183" s="23">
        <v>46118</v>
      </c>
      <c r="B183" s="22" t="s">
        <v>583</v>
      </c>
    </row>
    <row r="184" spans="1:2" ht="409.5">
      <c r="A184" s="23">
        <v>46119</v>
      </c>
      <c r="B184" s="22" t="s">
        <v>584</v>
      </c>
    </row>
    <row r="185" spans="1:2" ht="409.5">
      <c r="A185" s="23">
        <v>46120</v>
      </c>
      <c r="B185" s="22" t="s">
        <v>585</v>
      </c>
    </row>
    <row r="186" spans="1:2" ht="409.5">
      <c r="A186" s="23">
        <v>46121</v>
      </c>
      <c r="B186" s="22" t="s">
        <v>586</v>
      </c>
    </row>
    <row r="187" spans="1:2" ht="409.5">
      <c r="A187" s="23">
        <v>46122</v>
      </c>
      <c r="B187" s="22" t="s">
        <v>587</v>
      </c>
    </row>
    <row r="188" spans="1:2" ht="409.5">
      <c r="A188" s="23">
        <v>46123</v>
      </c>
      <c r="B188" s="22" t="s">
        <v>588</v>
      </c>
    </row>
    <row r="189" spans="1:2" ht="409.5">
      <c r="A189" s="23">
        <v>46124</v>
      </c>
      <c r="B189" s="22" t="s">
        <v>589</v>
      </c>
    </row>
    <row r="190" spans="1:2" ht="409.5">
      <c r="A190" s="23">
        <v>46125</v>
      </c>
      <c r="B190" s="22" t="s">
        <v>590</v>
      </c>
    </row>
    <row r="191" spans="1:2" ht="409.5">
      <c r="A191" s="23">
        <v>46126</v>
      </c>
      <c r="B191" s="22" t="s">
        <v>591</v>
      </c>
    </row>
    <row r="192" spans="1:2" ht="409.5">
      <c r="A192" s="23">
        <v>46127</v>
      </c>
      <c r="B192" s="22" t="s">
        <v>592</v>
      </c>
    </row>
    <row r="193" spans="1:2" ht="409.5">
      <c r="A193" s="23">
        <v>46128</v>
      </c>
      <c r="B193" s="22" t="s">
        <v>593</v>
      </c>
    </row>
    <row r="194" spans="1:2" ht="409.5">
      <c r="A194" s="23">
        <v>46130</v>
      </c>
      <c r="B194" s="22" t="s">
        <v>594</v>
      </c>
    </row>
    <row r="195" spans="1:2" ht="409.5">
      <c r="A195" s="23">
        <v>46131</v>
      </c>
      <c r="B195" s="22" t="s">
        <v>595</v>
      </c>
    </row>
    <row r="196" spans="1:2" ht="409.5">
      <c r="A196" s="23">
        <v>46132</v>
      </c>
      <c r="B196" s="22" t="s">
        <v>596</v>
      </c>
    </row>
    <row r="197" spans="1:2" ht="409.5">
      <c r="A197" s="23">
        <v>46133</v>
      </c>
      <c r="B197" s="22" t="s">
        <v>597</v>
      </c>
    </row>
    <row r="198" spans="1:2" ht="409.5">
      <c r="A198" s="23">
        <v>46134</v>
      </c>
      <c r="B198" s="22" t="s">
        <v>598</v>
      </c>
    </row>
    <row r="199" spans="1:2" ht="409.5">
      <c r="A199" s="23">
        <v>46135</v>
      </c>
      <c r="B199" s="22" t="s">
        <v>599</v>
      </c>
    </row>
    <row r="200" spans="1:2" ht="409.5">
      <c r="A200" s="23">
        <v>46136</v>
      </c>
      <c r="B200" s="22" t="s">
        <v>600</v>
      </c>
    </row>
    <row r="201" spans="1:2" ht="409.5">
      <c r="A201" s="23">
        <v>46136</v>
      </c>
      <c r="B201" s="22" t="s">
        <v>601</v>
      </c>
    </row>
    <row r="202" spans="1:2" ht="409.5">
      <c r="A202" s="23">
        <v>46137</v>
      </c>
      <c r="B202" s="22" t="s">
        <v>602</v>
      </c>
    </row>
    <row r="203" spans="1:2" ht="409.5">
      <c r="A203" s="23">
        <v>46138</v>
      </c>
      <c r="B203" s="22" t="s">
        <v>603</v>
      </c>
    </row>
    <row r="204" spans="1:2" ht="409.5">
      <c r="A204" s="23">
        <v>46139</v>
      </c>
      <c r="B204" s="22" t="s">
        <v>604</v>
      </c>
    </row>
    <row r="205" spans="1:2" ht="409.5">
      <c r="A205" s="23">
        <v>46140</v>
      </c>
      <c r="B205" s="22" t="s">
        <v>605</v>
      </c>
    </row>
    <row r="206" spans="1:2" ht="409.5">
      <c r="A206" s="23">
        <v>46141</v>
      </c>
      <c r="B206" s="22" t="s">
        <v>606</v>
      </c>
    </row>
    <row r="207" spans="1:2" ht="409.5">
      <c r="A207" s="23">
        <v>46142</v>
      </c>
      <c r="B207" s="22" t="s">
        <v>607</v>
      </c>
    </row>
    <row r="208" spans="1:2" ht="409.5">
      <c r="A208" s="23">
        <v>46143</v>
      </c>
      <c r="B208" s="22" t="s">
        <v>608</v>
      </c>
    </row>
    <row r="209" spans="1:2" ht="408">
      <c r="A209" s="23">
        <v>46144</v>
      </c>
      <c r="B209" s="22" t="s">
        <v>609</v>
      </c>
    </row>
    <row r="210" spans="1:2" ht="409.5">
      <c r="A210" s="23">
        <v>46145</v>
      </c>
      <c r="B210" s="22" t="s">
        <v>610</v>
      </c>
    </row>
    <row r="211" spans="1:2" ht="409.5">
      <c r="A211" s="23">
        <v>46146</v>
      </c>
      <c r="B211" s="22" t="s">
        <v>611</v>
      </c>
    </row>
    <row r="212" spans="1:2" ht="409.5">
      <c r="A212" s="23">
        <v>46147</v>
      </c>
      <c r="B212" s="22" t="s">
        <v>612</v>
      </c>
    </row>
    <row r="213" spans="1:2" ht="409.5">
      <c r="A213" s="23">
        <v>46148</v>
      </c>
      <c r="B213" s="22" t="s">
        <v>613</v>
      </c>
    </row>
    <row r="214" spans="1:2" ht="409.5">
      <c r="A214" s="23">
        <v>46149</v>
      </c>
      <c r="B214" s="22" t="s">
        <v>614</v>
      </c>
    </row>
    <row r="215" spans="1:2" ht="409.5">
      <c r="A215" s="23">
        <v>46150</v>
      </c>
      <c r="B215" s="22" t="s">
        <v>615</v>
      </c>
    </row>
    <row r="216" spans="1:2" ht="409.5">
      <c r="A216" s="23">
        <v>46151</v>
      </c>
      <c r="B216" s="22" t="s">
        <v>616</v>
      </c>
    </row>
    <row r="217" spans="1:2" ht="409.5">
      <c r="A217" s="23">
        <v>46152</v>
      </c>
      <c r="B217" s="22" t="s">
        <v>617</v>
      </c>
    </row>
    <row r="218" spans="1:2" ht="409.5">
      <c r="A218" s="23">
        <v>46153</v>
      </c>
      <c r="B218" s="22" t="s">
        <v>618</v>
      </c>
    </row>
    <row r="219" spans="1:2" ht="409.5">
      <c r="A219" s="23">
        <v>46154</v>
      </c>
      <c r="B219" s="22" t="s">
        <v>619</v>
      </c>
    </row>
    <row r="220" spans="1:2" ht="409.5">
      <c r="A220" s="23">
        <v>46155</v>
      </c>
      <c r="B220" s="22" t="s">
        <v>620</v>
      </c>
    </row>
    <row r="221" spans="1:2" ht="409.5">
      <c r="A221" s="23">
        <v>46156</v>
      </c>
      <c r="B221" s="22" t="s">
        <v>621</v>
      </c>
    </row>
    <row r="222" spans="1:2" ht="409.5">
      <c r="A222" s="23">
        <v>46157</v>
      </c>
      <c r="B222" s="22" t="s">
        <v>622</v>
      </c>
    </row>
    <row r="223" spans="1:2" ht="409.5">
      <c r="A223" s="23">
        <v>46158</v>
      </c>
      <c r="B223" s="22" t="s">
        <v>623</v>
      </c>
    </row>
    <row r="224" spans="1:2" ht="409.5">
      <c r="A224" s="23">
        <v>46159</v>
      </c>
      <c r="B224" s="22" t="s">
        <v>624</v>
      </c>
    </row>
    <row r="225" spans="1:2" ht="409.5">
      <c r="A225" s="23">
        <v>46160</v>
      </c>
      <c r="B225" s="22" t="s">
        <v>625</v>
      </c>
    </row>
    <row r="226" spans="1:2" ht="409.5">
      <c r="A226" s="23">
        <v>46161</v>
      </c>
      <c r="B226" s="22" t="s">
        <v>626</v>
      </c>
    </row>
    <row r="227" spans="1:2" ht="409.5">
      <c r="A227" s="23">
        <v>46162</v>
      </c>
      <c r="B227" s="22" t="s">
        <v>627</v>
      </c>
    </row>
    <row r="228" spans="1:2" ht="409.5">
      <c r="A228" s="23">
        <v>46163</v>
      </c>
      <c r="B228" s="22" t="s">
        <v>628</v>
      </c>
    </row>
    <row r="229" spans="1:2" ht="409.5">
      <c r="A229" s="23">
        <v>46164</v>
      </c>
      <c r="B229" s="22" t="s">
        <v>629</v>
      </c>
    </row>
    <row r="230" spans="1:2" ht="409.5">
      <c r="A230" s="23">
        <v>46165</v>
      </c>
      <c r="B230" s="22" t="s">
        <v>630</v>
      </c>
    </row>
    <row r="231" spans="1:2" ht="409.5">
      <c r="A231" s="23">
        <v>46166</v>
      </c>
      <c r="B231" s="22" t="s">
        <v>631</v>
      </c>
    </row>
    <row r="232" spans="1:2" ht="409.5">
      <c r="A232" s="23">
        <v>46167</v>
      </c>
      <c r="B232" s="22" t="s">
        <v>632</v>
      </c>
    </row>
    <row r="233" spans="1:2" ht="409.5">
      <c r="A233" s="23">
        <v>46168</v>
      </c>
      <c r="B233" s="22" t="s">
        <v>633</v>
      </c>
    </row>
    <row r="234" spans="1:2" ht="409.5">
      <c r="A234" s="23">
        <v>46169</v>
      </c>
      <c r="B234" s="22" t="s">
        <v>634</v>
      </c>
    </row>
    <row r="235" spans="1:2" ht="409.5">
      <c r="A235" s="23">
        <v>46170</v>
      </c>
      <c r="B235" s="22" t="s">
        <v>635</v>
      </c>
    </row>
    <row r="236" spans="1:2" ht="409.5">
      <c r="A236" s="23">
        <v>46171</v>
      </c>
      <c r="B236" s="22" t="s">
        <v>636</v>
      </c>
    </row>
    <row r="237" spans="1:2" ht="409.5">
      <c r="A237" s="23">
        <v>46172</v>
      </c>
      <c r="B237" s="22" t="s">
        <v>637</v>
      </c>
    </row>
    <row r="238" spans="1:2" ht="409.5">
      <c r="A238" s="23">
        <v>46173</v>
      </c>
      <c r="B238" s="22" t="s">
        <v>638</v>
      </c>
    </row>
    <row r="239" spans="1:2" ht="409.5">
      <c r="A239" s="23">
        <v>46174</v>
      </c>
      <c r="B239" s="22" t="s">
        <v>639</v>
      </c>
    </row>
    <row r="240" spans="1:2" ht="409.5">
      <c r="A240" s="23">
        <v>46175</v>
      </c>
      <c r="B240" s="22" t="s">
        <v>640</v>
      </c>
    </row>
    <row r="241" spans="1:2" ht="409.5">
      <c r="A241" s="23">
        <v>46176</v>
      </c>
      <c r="B241" s="22" t="s">
        <v>641</v>
      </c>
    </row>
    <row r="242" spans="1:2" ht="409.5">
      <c r="A242" s="23">
        <v>46177</v>
      </c>
      <c r="B242" s="22" t="s">
        <v>642</v>
      </c>
    </row>
    <row r="243" spans="1:2" ht="409.5">
      <c r="A243" s="23">
        <v>46178</v>
      </c>
      <c r="B243" s="22" t="s">
        <v>643</v>
      </c>
    </row>
    <row r="244" spans="1:2" ht="409.5">
      <c r="A244" s="23">
        <v>46179</v>
      </c>
      <c r="B244" s="22" t="s">
        <v>644</v>
      </c>
    </row>
    <row r="245" spans="1:2" ht="409.5">
      <c r="A245" s="23">
        <v>46180</v>
      </c>
      <c r="B245" s="22" t="s">
        <v>645</v>
      </c>
    </row>
    <row r="246" spans="1:2" ht="409.5">
      <c r="A246" s="23">
        <v>46181</v>
      </c>
      <c r="B246" s="22" t="s">
        <v>646</v>
      </c>
    </row>
    <row r="247" spans="1:2" ht="409.5">
      <c r="A247" s="23">
        <v>46182</v>
      </c>
      <c r="B247" s="22" t="s">
        <v>647</v>
      </c>
    </row>
    <row r="248" spans="1:2" ht="409.5">
      <c r="A248" s="23">
        <v>46183</v>
      </c>
      <c r="B248" s="22" t="s">
        <v>648</v>
      </c>
    </row>
    <row r="249" spans="1:2" ht="409.5">
      <c r="A249" s="23">
        <v>46184</v>
      </c>
      <c r="B249" s="22" t="s">
        <v>649</v>
      </c>
    </row>
    <row r="250" spans="1:2" ht="409.5">
      <c r="A250" s="23">
        <v>46185</v>
      </c>
      <c r="B250" s="22" t="s">
        <v>650</v>
      </c>
    </row>
    <row r="251" spans="1:2" ht="408">
      <c r="A251" s="23">
        <v>46186</v>
      </c>
      <c r="B251" s="22" t="s">
        <v>651</v>
      </c>
    </row>
    <row r="252" spans="1:2" ht="409.5">
      <c r="A252" s="23">
        <v>46187</v>
      </c>
      <c r="B252" s="22" t="s">
        <v>652</v>
      </c>
    </row>
    <row r="253" spans="1:2" ht="395.25">
      <c r="A253" s="23">
        <v>46188</v>
      </c>
      <c r="B253" s="22" t="s">
        <v>653</v>
      </c>
    </row>
    <row r="254" spans="1:2" ht="395.25">
      <c r="A254" s="23">
        <v>46189</v>
      </c>
      <c r="B254" s="22" t="s">
        <v>654</v>
      </c>
    </row>
    <row r="255" spans="1:2" ht="409.5">
      <c r="A255" s="23">
        <v>46190</v>
      </c>
      <c r="B255" s="22" t="s">
        <v>655</v>
      </c>
    </row>
    <row r="256" spans="1:2" ht="395.25">
      <c r="A256" s="23">
        <v>46191</v>
      </c>
      <c r="B256" s="22" t="s">
        <v>656</v>
      </c>
    </row>
    <row r="257" spans="1:2" ht="409.5">
      <c r="A257" s="23">
        <v>46192</v>
      </c>
      <c r="B257" s="22" t="s">
        <v>657</v>
      </c>
    </row>
    <row r="258" spans="1:2" ht="409.5">
      <c r="A258" s="23">
        <v>46193</v>
      </c>
      <c r="B258" s="22" t="s">
        <v>658</v>
      </c>
    </row>
    <row r="259" spans="1:2" ht="408">
      <c r="A259" s="23">
        <v>46194</v>
      </c>
      <c r="B259" s="22" t="s">
        <v>659</v>
      </c>
    </row>
    <row r="260" spans="1:2" ht="409.5">
      <c r="A260" s="23">
        <v>46195</v>
      </c>
      <c r="B260" s="22" t="s">
        <v>660</v>
      </c>
    </row>
    <row r="261" spans="1:2" ht="409.5">
      <c r="A261" s="23">
        <v>46198</v>
      </c>
      <c r="B261" s="22" t="s">
        <v>661</v>
      </c>
    </row>
    <row r="262" spans="1:2" ht="409.5">
      <c r="A262" s="23">
        <v>46199</v>
      </c>
      <c r="B262" s="22" t="s">
        <v>662</v>
      </c>
    </row>
    <row r="263" spans="1:2" ht="409.5">
      <c r="A263" s="23">
        <v>46200</v>
      </c>
      <c r="B263" s="22" t="s">
        <v>663</v>
      </c>
    </row>
    <row r="264" spans="1:2" ht="409.5">
      <c r="A264" s="23">
        <v>46201</v>
      </c>
      <c r="B264" s="22" t="s">
        <v>664</v>
      </c>
    </row>
    <row r="265" spans="1:2" ht="409.5">
      <c r="A265" s="23">
        <v>46202</v>
      </c>
      <c r="B265" s="22" t="s">
        <v>665</v>
      </c>
    </row>
    <row r="266" spans="1:2" ht="409.5">
      <c r="A266" s="23">
        <v>46203</v>
      </c>
      <c r="B266" s="22" t="s">
        <v>666</v>
      </c>
    </row>
    <row r="267" spans="1:2" ht="409.5">
      <c r="A267" s="23">
        <v>46204</v>
      </c>
      <c r="B267" s="22" t="s">
        <v>667</v>
      </c>
    </row>
    <row r="268" spans="1:2" ht="409.5">
      <c r="A268" s="23">
        <v>46205</v>
      </c>
      <c r="B268" s="22" t="s">
        <v>668</v>
      </c>
    </row>
    <row r="269" spans="1:2" ht="409.5">
      <c r="A269" s="23">
        <v>46206</v>
      </c>
      <c r="B269" s="22" t="s">
        <v>669</v>
      </c>
    </row>
    <row r="270" spans="1:2" ht="409.5">
      <c r="A270" s="23">
        <v>46207</v>
      </c>
      <c r="B270" s="22" t="s">
        <v>670</v>
      </c>
    </row>
    <row r="271" spans="1:2" ht="395.25">
      <c r="A271" s="23">
        <v>46208</v>
      </c>
      <c r="B271" s="22" t="s">
        <v>671</v>
      </c>
    </row>
    <row r="272" spans="1:2" ht="409.5">
      <c r="A272" s="23">
        <v>46209</v>
      </c>
      <c r="B272" s="22" t="s">
        <v>672</v>
      </c>
    </row>
    <row r="273" spans="1:2" ht="409.5">
      <c r="A273" s="23">
        <v>46210</v>
      </c>
      <c r="B273" s="22" t="s">
        <v>673</v>
      </c>
    </row>
    <row r="274" spans="1:2" ht="409.5">
      <c r="A274" s="23">
        <v>46212</v>
      </c>
      <c r="B274" s="22" t="s">
        <v>674</v>
      </c>
    </row>
    <row r="275" spans="1:2" ht="409.5">
      <c r="A275" s="23">
        <v>46213</v>
      </c>
      <c r="B275" s="22" t="s">
        <v>675</v>
      </c>
    </row>
    <row r="276" spans="1:2" ht="408">
      <c r="A276" s="23">
        <v>46214</v>
      </c>
      <c r="B276" s="22" t="s">
        <v>676</v>
      </c>
    </row>
    <row r="277" spans="1:2" ht="409.5">
      <c r="A277" s="23">
        <v>46215</v>
      </c>
      <c r="B277" s="22" t="s">
        <v>677</v>
      </c>
    </row>
    <row r="278" spans="1:2" ht="409.5">
      <c r="A278" s="23">
        <v>46216</v>
      </c>
      <c r="B278" s="22" t="s">
        <v>678</v>
      </c>
    </row>
    <row r="279" spans="1:2" ht="409.5">
      <c r="A279" s="23">
        <v>46217</v>
      </c>
      <c r="B279" s="22" t="s">
        <v>679</v>
      </c>
    </row>
    <row r="280" spans="1:2" ht="12.75">
      <c r="A280" s="21"/>
      <c r="B280" s="22"/>
    </row>
    <row r="281" spans="1:2" ht="12.75">
      <c r="A281" s="21"/>
      <c r="B281" s="22"/>
    </row>
    <row r="282" spans="1:2" ht="12.75">
      <c r="A282" s="21"/>
      <c r="B282" s="22"/>
    </row>
    <row r="283" spans="1:2" ht="12.75">
      <c r="A283" s="21"/>
      <c r="B283" s="22"/>
    </row>
    <row r="284" spans="1:2" ht="12.75">
      <c r="A284" s="21"/>
      <c r="B284" s="22"/>
    </row>
    <row r="285" spans="1:2" ht="12.75">
      <c r="A285" s="21"/>
      <c r="B285" s="22"/>
    </row>
    <row r="286" spans="1:2" ht="12.75">
      <c r="A286" s="21"/>
      <c r="B286" s="22"/>
    </row>
    <row r="287" spans="1:2" ht="12.75">
      <c r="A287" s="21"/>
      <c r="B287" s="22"/>
    </row>
    <row r="288" spans="1:2" ht="12.75">
      <c r="A288" s="21"/>
      <c r="B288" s="22"/>
    </row>
    <row r="289" spans="1:2" ht="12.75">
      <c r="A289" s="21"/>
      <c r="B289" s="22"/>
    </row>
    <row r="290" spans="1:2" ht="12.75">
      <c r="A290" s="21"/>
      <c r="B290" s="22"/>
    </row>
    <row r="291" spans="1:2" ht="12.75">
      <c r="A291" s="21"/>
      <c r="B291" s="22"/>
    </row>
    <row r="292" spans="1:2" ht="12.75">
      <c r="A292" s="21"/>
      <c r="B292" s="22"/>
    </row>
    <row r="293" spans="1:2" ht="12.75">
      <c r="A293" s="21"/>
      <c r="B293" s="22"/>
    </row>
    <row r="294" spans="1:2" ht="12.75">
      <c r="A294" s="21"/>
      <c r="B294" s="22"/>
    </row>
    <row r="295" spans="1:2" ht="12.75">
      <c r="A295" s="21"/>
      <c r="B295" s="22"/>
    </row>
    <row r="296" spans="1:2" ht="12.75">
      <c r="A296" s="21"/>
      <c r="B296" s="22"/>
    </row>
    <row r="297" spans="1:2" ht="12.75">
      <c r="A297" s="21"/>
      <c r="B297" s="22"/>
    </row>
    <row r="298" spans="1:2" ht="12.75">
      <c r="A298" s="21"/>
      <c r="B298" s="22"/>
    </row>
    <row r="299" spans="1:2" ht="12.75">
      <c r="A299" s="21"/>
      <c r="B299" s="22"/>
    </row>
    <row r="300" spans="1:2" ht="12.75">
      <c r="A300" s="21"/>
      <c r="B300" s="22"/>
    </row>
    <row r="301" spans="1:2" ht="12.75">
      <c r="A301" s="21"/>
      <c r="B301" s="22"/>
    </row>
    <row r="302" spans="1:2" ht="12.75">
      <c r="A302" s="21"/>
      <c r="B302" s="22"/>
    </row>
    <row r="303" spans="1:2" ht="12.75">
      <c r="A303" s="21"/>
      <c r="B303" s="22"/>
    </row>
    <row r="304" spans="1:2" ht="12.75">
      <c r="A304" s="21"/>
      <c r="B304" s="22"/>
    </row>
    <row r="305" spans="1:2" ht="12.75">
      <c r="A305" s="21"/>
      <c r="B305" s="22"/>
    </row>
    <row r="306" spans="1:2" ht="12.75">
      <c r="A306" s="21"/>
      <c r="B306" s="22"/>
    </row>
    <row r="307" spans="1:2" ht="12.75">
      <c r="A307" s="21"/>
      <c r="B307" s="22"/>
    </row>
    <row r="308" spans="1:2" ht="12.75">
      <c r="A308" s="21"/>
      <c r="B308" s="22"/>
    </row>
    <row r="309" spans="1:2" ht="12.75">
      <c r="A309" s="21"/>
      <c r="B309" s="22"/>
    </row>
    <row r="310" spans="1:2" ht="12.75">
      <c r="A310" s="21"/>
      <c r="B310" s="22"/>
    </row>
    <row r="311" spans="1:2" ht="12.75">
      <c r="A311" s="21"/>
      <c r="B311" s="22"/>
    </row>
    <row r="312" spans="1:2" ht="12.75">
      <c r="A312" s="21"/>
      <c r="B312" s="22"/>
    </row>
    <row r="313" spans="1:2" ht="12.75">
      <c r="A313" s="21"/>
      <c r="B313" s="22"/>
    </row>
    <row r="314" spans="1:2" ht="12.75">
      <c r="A314" s="21"/>
      <c r="B314" s="22"/>
    </row>
    <row r="315" spans="1:2" ht="12.75">
      <c r="A315" s="21"/>
      <c r="B315" s="22"/>
    </row>
    <row r="316" spans="1:2" ht="12.75">
      <c r="A316" s="21"/>
      <c r="B316" s="22"/>
    </row>
    <row r="317" spans="1:2" ht="12.75">
      <c r="A317" s="21"/>
      <c r="B317" s="22"/>
    </row>
    <row r="318" spans="1:2" ht="12.75">
      <c r="A318" s="21"/>
      <c r="B318" s="22"/>
    </row>
    <row r="319" spans="1:2" ht="12.75">
      <c r="A319" s="21"/>
      <c r="B319" s="22"/>
    </row>
    <row r="320" spans="1:2" ht="12.75">
      <c r="A320" s="21"/>
      <c r="B320" s="22"/>
    </row>
    <row r="321" spans="1:2" ht="12.75">
      <c r="A321" s="21"/>
      <c r="B321" s="22"/>
    </row>
    <row r="322" spans="1:2" ht="12.75">
      <c r="A322" s="21"/>
      <c r="B322" s="22"/>
    </row>
    <row r="323" spans="1:2" ht="12.75">
      <c r="A323" s="21"/>
      <c r="B323" s="22"/>
    </row>
    <row r="324" spans="1:2" ht="12.75">
      <c r="A324" s="21"/>
      <c r="B324" s="22"/>
    </row>
    <row r="325" spans="1:2" ht="12.75">
      <c r="A325" s="21"/>
      <c r="B325" s="22"/>
    </row>
    <row r="326" spans="1:2" ht="12.75">
      <c r="A326" s="21"/>
      <c r="B326" s="22"/>
    </row>
    <row r="327" spans="1:2" ht="12.75">
      <c r="A327" s="21"/>
      <c r="B327" s="22"/>
    </row>
    <row r="328" spans="1:2" ht="12.75">
      <c r="A328" s="21"/>
      <c r="B328" s="22"/>
    </row>
    <row r="329" spans="1:2" ht="12.75">
      <c r="A329" s="21"/>
      <c r="B329" s="22"/>
    </row>
    <row r="330" spans="1:2" ht="12.75">
      <c r="A330" s="21"/>
      <c r="B330" s="22"/>
    </row>
    <row r="331" spans="1:2" ht="12.75">
      <c r="A331" s="21"/>
      <c r="B331" s="22"/>
    </row>
    <row r="332" spans="1:2" ht="12.75">
      <c r="A332" s="21"/>
      <c r="B332" s="22"/>
    </row>
    <row r="333" spans="1:2" ht="12.75">
      <c r="A333" s="21"/>
      <c r="B333" s="22"/>
    </row>
    <row r="334" spans="1:2" ht="12.75">
      <c r="A334" s="21"/>
      <c r="B334" s="22"/>
    </row>
    <row r="335" spans="1:2" ht="12.75">
      <c r="A335" s="21"/>
      <c r="B335" s="22"/>
    </row>
    <row r="336" spans="1:2" ht="12.75">
      <c r="A336" s="21"/>
      <c r="B336" s="22"/>
    </row>
    <row r="337" spans="1:2" ht="12.75">
      <c r="A337" s="21"/>
      <c r="B337" s="22"/>
    </row>
    <row r="338" spans="1:2" ht="12.75">
      <c r="A338" s="21"/>
      <c r="B338" s="22"/>
    </row>
    <row r="339" spans="1:2" ht="12.75">
      <c r="A339" s="21"/>
      <c r="B339" s="22"/>
    </row>
    <row r="340" spans="1:2" ht="12.75">
      <c r="A340" s="21"/>
      <c r="B340" s="22"/>
    </row>
    <row r="341" spans="1:2" ht="12.75">
      <c r="A341" s="21"/>
      <c r="B341" s="22"/>
    </row>
    <row r="342" spans="1:2" ht="12.75">
      <c r="A342" s="21"/>
      <c r="B342" s="22"/>
    </row>
    <row r="343" spans="1:2" ht="12.75">
      <c r="A343" s="21"/>
      <c r="B343" s="22"/>
    </row>
    <row r="344" spans="1:2" ht="12.75">
      <c r="A344" s="21"/>
      <c r="B344" s="22"/>
    </row>
    <row r="345" spans="1:2" ht="12.75">
      <c r="A345" s="21"/>
      <c r="B345" s="22"/>
    </row>
    <row r="346" spans="1:2" ht="12.75">
      <c r="A346" s="21"/>
      <c r="B346" s="22"/>
    </row>
    <row r="347" spans="1:2" ht="12.75">
      <c r="A347" s="21"/>
      <c r="B347" s="22"/>
    </row>
    <row r="348" spans="1:2" ht="12.75">
      <c r="A348" s="21"/>
      <c r="B348" s="22"/>
    </row>
    <row r="349" spans="1:2" ht="12.75">
      <c r="A349" s="21"/>
      <c r="B349" s="22"/>
    </row>
    <row r="350" spans="1:2" ht="12.75">
      <c r="A350" s="21"/>
      <c r="B350" s="22"/>
    </row>
    <row r="351" spans="1:2" ht="12.75">
      <c r="A351" s="21"/>
      <c r="B351" s="22"/>
    </row>
    <row r="352" spans="1:2" ht="12.75">
      <c r="A352" s="21"/>
      <c r="B352" s="22"/>
    </row>
    <row r="353" spans="1:2" ht="12.75">
      <c r="A353" s="21"/>
      <c r="B353" s="22"/>
    </row>
    <row r="354" spans="1:2" ht="12.75">
      <c r="A354" s="21"/>
      <c r="B354" s="22"/>
    </row>
    <row r="355" spans="1:2" ht="12.75">
      <c r="A355" s="21"/>
      <c r="B355" s="22"/>
    </row>
    <row r="356" spans="1:2" ht="12.75">
      <c r="A356" s="21"/>
      <c r="B356" s="22"/>
    </row>
    <row r="357" spans="1:2" ht="12.75">
      <c r="A357" s="21"/>
      <c r="B357" s="22"/>
    </row>
    <row r="358" spans="1:2" ht="12.75">
      <c r="A358" s="21"/>
      <c r="B358" s="22"/>
    </row>
    <row r="359" spans="1:2" ht="12.75">
      <c r="A359" s="21"/>
      <c r="B359" s="22"/>
    </row>
    <row r="360" spans="1:2" ht="12.75">
      <c r="A360" s="21"/>
      <c r="B360" s="22"/>
    </row>
    <row r="361" spans="1:2" ht="12.75">
      <c r="A361" s="21"/>
      <c r="B361" s="22"/>
    </row>
    <row r="362" spans="1:2" ht="12.75">
      <c r="A362" s="21"/>
      <c r="B362" s="22"/>
    </row>
    <row r="363" spans="1:2" ht="12.75">
      <c r="A363" s="21"/>
      <c r="B363" s="22"/>
    </row>
    <row r="364" spans="1:2" ht="12.75">
      <c r="A364" s="21"/>
      <c r="B364" s="22"/>
    </row>
    <row r="365" spans="1:2" ht="12.75">
      <c r="A365" s="21"/>
      <c r="B365" s="22"/>
    </row>
    <row r="366" spans="1:2" ht="12.75">
      <c r="A366" s="21"/>
      <c r="B366" s="22"/>
    </row>
    <row r="367" spans="1:2" ht="12.75">
      <c r="A367" s="21"/>
      <c r="B367" s="22"/>
    </row>
    <row r="368" spans="1:2" ht="12.75">
      <c r="A368" s="21"/>
      <c r="B368" s="22"/>
    </row>
    <row r="369" spans="1:2" ht="12.75">
      <c r="A369" s="21"/>
      <c r="B369" s="22"/>
    </row>
    <row r="370" spans="1:2" ht="12.75">
      <c r="A370" s="21"/>
      <c r="B370" s="22"/>
    </row>
    <row r="371" spans="1:2" ht="12.75">
      <c r="A371" s="21"/>
      <c r="B371" s="22"/>
    </row>
    <row r="372" spans="1:2" ht="12.75">
      <c r="A372" s="21"/>
      <c r="B372" s="22"/>
    </row>
    <row r="373" spans="1:2" ht="12.75">
      <c r="A373" s="21"/>
      <c r="B373" s="22"/>
    </row>
    <row r="374" spans="1:2" ht="12.75">
      <c r="A374" s="21"/>
      <c r="B374" s="22"/>
    </row>
    <row r="375" spans="1:2" ht="12.75">
      <c r="A375" s="21"/>
      <c r="B375" s="22"/>
    </row>
    <row r="376" spans="1:2" ht="12.75">
      <c r="A376" s="21"/>
      <c r="B376" s="22"/>
    </row>
    <row r="377" spans="1:2" ht="12.75">
      <c r="A377" s="21"/>
      <c r="B377" s="22"/>
    </row>
    <row r="378" spans="1:2" ht="12.75">
      <c r="A378" s="21"/>
      <c r="B378" s="22"/>
    </row>
    <row r="379" spans="1:2" ht="12.75">
      <c r="A379" s="21"/>
      <c r="B379" s="22"/>
    </row>
    <row r="380" spans="1:2" ht="12.75">
      <c r="A380" s="21"/>
      <c r="B380" s="22"/>
    </row>
    <row r="381" spans="1:2" ht="12.75">
      <c r="A381" s="21"/>
      <c r="B381" s="22"/>
    </row>
    <row r="382" spans="1:2" ht="12.75">
      <c r="A382" s="21"/>
      <c r="B382" s="22"/>
    </row>
    <row r="383" spans="1:2" ht="12.75">
      <c r="A383" s="21"/>
      <c r="B383" s="22"/>
    </row>
    <row r="384" spans="1:2" ht="12.75">
      <c r="A384" s="21"/>
      <c r="B384" s="22"/>
    </row>
    <row r="385" spans="1:2" ht="12.75">
      <c r="A385" s="21"/>
      <c r="B385" s="22"/>
    </row>
    <row r="386" spans="1:2" ht="12.75">
      <c r="A386" s="21"/>
      <c r="B386" s="22"/>
    </row>
    <row r="387" spans="1:2" ht="12.75">
      <c r="A387" s="21"/>
      <c r="B387" s="22"/>
    </row>
    <row r="388" spans="1:2" ht="12.75">
      <c r="A388" s="21"/>
      <c r="B388" s="22"/>
    </row>
    <row r="389" spans="1:2" ht="12.75">
      <c r="A389" s="21"/>
      <c r="B389" s="22"/>
    </row>
    <row r="390" spans="1:2" ht="12.75">
      <c r="A390" s="21"/>
      <c r="B390" s="22"/>
    </row>
    <row r="391" spans="1:2" ht="12.75">
      <c r="A391" s="21"/>
      <c r="B391" s="22"/>
    </row>
    <row r="392" spans="1:2" ht="12.75">
      <c r="A392" s="21"/>
      <c r="B392" s="22"/>
    </row>
    <row r="393" spans="1:2" ht="12.75">
      <c r="A393" s="21"/>
      <c r="B393" s="22"/>
    </row>
    <row r="394" spans="1:2" ht="12.75">
      <c r="A394" s="21"/>
      <c r="B394" s="22"/>
    </row>
    <row r="395" spans="1:2" ht="12.75">
      <c r="A395" s="21"/>
      <c r="B395" s="22"/>
    </row>
    <row r="396" spans="1:2" ht="12.75">
      <c r="A396" s="21"/>
      <c r="B396" s="22"/>
    </row>
    <row r="397" spans="1:2" ht="12.75">
      <c r="A397" s="21"/>
      <c r="B397" s="22"/>
    </row>
    <row r="398" spans="1:2" ht="12.75">
      <c r="A398" s="21"/>
      <c r="B398" s="22"/>
    </row>
    <row r="399" spans="1:2" ht="12.75">
      <c r="A399" s="21"/>
      <c r="B399" s="22"/>
    </row>
    <row r="400" spans="1:2" ht="12.75">
      <c r="A400" s="21"/>
      <c r="B400" s="22"/>
    </row>
    <row r="401" spans="1:2" ht="12.75">
      <c r="A401" s="21"/>
      <c r="B401" s="22"/>
    </row>
    <row r="402" spans="1:2" ht="12.75">
      <c r="A402" s="21"/>
      <c r="B402" s="22"/>
    </row>
    <row r="403" spans="1:2" ht="12.75">
      <c r="A403" s="21"/>
      <c r="B403" s="22"/>
    </row>
    <row r="404" spans="1:2" ht="12.75">
      <c r="A404" s="21"/>
      <c r="B404" s="22"/>
    </row>
    <row r="405" spans="1:2" ht="12.75">
      <c r="A405" s="21"/>
      <c r="B405" s="22"/>
    </row>
    <row r="406" spans="1:2" ht="12.75">
      <c r="A406" s="21"/>
      <c r="B406" s="22"/>
    </row>
    <row r="407" spans="1:2" ht="12.75">
      <c r="A407" s="21"/>
      <c r="B407" s="22"/>
    </row>
    <row r="408" spans="1:2" ht="12.75">
      <c r="A408" s="21"/>
      <c r="B408" s="22"/>
    </row>
    <row r="409" spans="1:2" ht="12.75">
      <c r="A409" s="21"/>
      <c r="B409" s="22"/>
    </row>
    <row r="410" spans="1:2" ht="12.75">
      <c r="A410" s="21"/>
      <c r="B410" s="22"/>
    </row>
    <row r="411" spans="1:2" ht="12.75">
      <c r="A411" s="21"/>
      <c r="B411" s="22"/>
    </row>
    <row r="412" spans="1:2" ht="12.75">
      <c r="A412" s="21"/>
      <c r="B412" s="22"/>
    </row>
    <row r="413" spans="1:2" ht="12.75">
      <c r="A413" s="21"/>
      <c r="B413" s="22"/>
    </row>
    <row r="414" spans="1:2" ht="12.75">
      <c r="A414" s="21"/>
      <c r="B414" s="22"/>
    </row>
    <row r="415" spans="1:2" ht="12.75">
      <c r="A415" s="21"/>
      <c r="B415" s="22"/>
    </row>
    <row r="416" spans="1:2" ht="12.75">
      <c r="A416" s="21"/>
      <c r="B416" s="22"/>
    </row>
    <row r="417" spans="1:2" ht="12.75">
      <c r="A417" s="21"/>
      <c r="B417" s="22"/>
    </row>
    <row r="418" spans="1:2" ht="12.75">
      <c r="A418" s="21"/>
      <c r="B418" s="22"/>
    </row>
    <row r="419" spans="1:2" ht="12.75">
      <c r="A419" s="21"/>
      <c r="B419" s="22"/>
    </row>
    <row r="420" spans="1:2" ht="12.75">
      <c r="A420" s="21"/>
      <c r="B420" s="22"/>
    </row>
    <row r="421" spans="1:2" ht="12.75">
      <c r="A421" s="21"/>
      <c r="B421" s="22"/>
    </row>
    <row r="422" spans="1:2" ht="12.75">
      <c r="A422" s="21"/>
      <c r="B422" s="22"/>
    </row>
    <row r="423" spans="1:2" ht="12.75">
      <c r="A423" s="21"/>
      <c r="B423" s="22"/>
    </row>
    <row r="424" spans="1:2" ht="12.75">
      <c r="A424" s="21"/>
      <c r="B424" s="22"/>
    </row>
    <row r="425" spans="1:2" ht="12.75">
      <c r="A425" s="21"/>
      <c r="B425" s="22"/>
    </row>
    <row r="426" spans="1:2" ht="12.75">
      <c r="A426" s="21"/>
      <c r="B426" s="22"/>
    </row>
    <row r="427" spans="1:2" ht="12.75">
      <c r="A427" s="21"/>
      <c r="B427" s="22"/>
    </row>
    <row r="428" spans="1:2" ht="12.75">
      <c r="A428" s="21"/>
      <c r="B428" s="22"/>
    </row>
    <row r="429" spans="1:2" ht="12.75">
      <c r="A429" s="21"/>
      <c r="B429" s="22"/>
    </row>
    <row r="430" spans="1:2" ht="12.75">
      <c r="A430" s="21"/>
      <c r="B430" s="22"/>
    </row>
    <row r="431" spans="1:2" ht="12.75">
      <c r="A431" s="21"/>
      <c r="B431" s="22"/>
    </row>
    <row r="432" spans="1:2" ht="12.75">
      <c r="A432" s="21"/>
      <c r="B432" s="22"/>
    </row>
    <row r="433" spans="1:2" ht="12.75">
      <c r="A433" s="21"/>
      <c r="B433" s="22"/>
    </row>
    <row r="434" spans="1:2" ht="12.75">
      <c r="A434" s="21"/>
      <c r="B434" s="22"/>
    </row>
    <row r="435" spans="1:2" ht="12.75">
      <c r="A435" s="21"/>
      <c r="B435" s="22"/>
    </row>
    <row r="436" spans="1:2" ht="12.75">
      <c r="A436" s="21"/>
      <c r="B436" s="22"/>
    </row>
    <row r="437" spans="1:2" ht="12.75">
      <c r="A437" s="21"/>
      <c r="B437" s="22"/>
    </row>
    <row r="438" spans="1:2" ht="12.75">
      <c r="A438" s="21"/>
      <c r="B438" s="22"/>
    </row>
    <row r="439" spans="1:2" ht="12.75">
      <c r="A439" s="21"/>
      <c r="B439" s="22"/>
    </row>
    <row r="440" spans="1:2" ht="12.75">
      <c r="A440" s="21"/>
      <c r="B440" s="22"/>
    </row>
    <row r="441" spans="1:2" ht="12.75">
      <c r="A441" s="21"/>
      <c r="B441" s="22"/>
    </row>
    <row r="442" spans="1:2" ht="12.75">
      <c r="A442" s="21"/>
      <c r="B442" s="22"/>
    </row>
    <row r="443" spans="1:2" ht="12.75">
      <c r="A443" s="21"/>
      <c r="B443" s="22"/>
    </row>
    <row r="444" spans="1:2" ht="12.75">
      <c r="A444" s="21"/>
      <c r="B444" s="22"/>
    </row>
    <row r="445" spans="1:2" ht="12.75">
      <c r="A445" s="21"/>
      <c r="B445" s="22"/>
    </row>
    <row r="446" spans="1:2" ht="12.75">
      <c r="A446" s="21"/>
      <c r="B446" s="22"/>
    </row>
    <row r="447" spans="1:2" ht="12.75">
      <c r="A447" s="21"/>
      <c r="B447" s="22"/>
    </row>
    <row r="448" spans="1:2" ht="12.75">
      <c r="A448" s="21"/>
      <c r="B448" s="22"/>
    </row>
    <row r="449" spans="1:2" ht="12.75">
      <c r="A449" s="21"/>
      <c r="B449" s="22"/>
    </row>
    <row r="450" spans="1:2" ht="12.75">
      <c r="A450" s="21"/>
      <c r="B450" s="22"/>
    </row>
    <row r="451" spans="1:2" ht="12.75">
      <c r="A451" s="21"/>
      <c r="B451" s="22"/>
    </row>
    <row r="452" spans="1:2" ht="12.75">
      <c r="A452" s="21"/>
      <c r="B452" s="22"/>
    </row>
    <row r="453" spans="1:2" ht="12.75">
      <c r="A453" s="21"/>
      <c r="B453" s="22"/>
    </row>
    <row r="454" spans="1:2" ht="12.75">
      <c r="A454" s="21"/>
      <c r="B454" s="22"/>
    </row>
    <row r="455" spans="1:2" ht="12.75">
      <c r="A455" s="21"/>
      <c r="B455" s="22"/>
    </row>
    <row r="456" spans="1:2" ht="12.75">
      <c r="A456" s="21"/>
      <c r="B456" s="22"/>
    </row>
    <row r="457" spans="1:2" ht="12.75">
      <c r="A457" s="21"/>
      <c r="B457" s="22"/>
    </row>
    <row r="458" spans="1:2" ht="12.75">
      <c r="A458" s="21"/>
      <c r="B458" s="22"/>
    </row>
    <row r="459" spans="1:2" ht="12.75">
      <c r="A459" s="21"/>
      <c r="B459" s="22"/>
    </row>
    <row r="460" spans="1:2" ht="12.75">
      <c r="A460" s="21"/>
      <c r="B460" s="22"/>
    </row>
    <row r="461" spans="1:2" ht="12.75">
      <c r="A461" s="21"/>
      <c r="B461" s="22"/>
    </row>
    <row r="462" spans="1:2" ht="12.75">
      <c r="A462" s="21"/>
      <c r="B462" s="22"/>
    </row>
    <row r="463" spans="1:2" ht="12.75">
      <c r="A463" s="21"/>
      <c r="B463" s="22"/>
    </row>
    <row r="464" spans="1:2" ht="12.75">
      <c r="A464" s="21"/>
      <c r="B464" s="22"/>
    </row>
    <row r="465" spans="1:2" ht="12.75">
      <c r="A465" s="21"/>
      <c r="B465" s="22"/>
    </row>
    <row r="466" spans="1:2" ht="12.75">
      <c r="A466" s="21"/>
      <c r="B466" s="22"/>
    </row>
    <row r="467" spans="1:2" ht="12.75">
      <c r="A467" s="21"/>
      <c r="B467" s="22"/>
    </row>
    <row r="468" spans="1:2" ht="12.75">
      <c r="A468" s="21"/>
      <c r="B468" s="22"/>
    </row>
    <row r="469" spans="1:2" ht="12.75">
      <c r="A469" s="21"/>
      <c r="B469" s="22"/>
    </row>
    <row r="470" spans="1:2" ht="12.75">
      <c r="A470" s="21"/>
      <c r="B470" s="22"/>
    </row>
    <row r="471" spans="1:2" ht="12.75">
      <c r="A471" s="21"/>
      <c r="B471" s="22"/>
    </row>
    <row r="472" spans="1:2" ht="12.75">
      <c r="A472" s="21"/>
      <c r="B472" s="22"/>
    </row>
    <row r="473" spans="1:2" ht="12.75">
      <c r="A473" s="21"/>
      <c r="B473" s="22"/>
    </row>
    <row r="474" spans="1:2" ht="12.75">
      <c r="A474" s="21"/>
      <c r="B474" s="22"/>
    </row>
    <row r="475" spans="1:2" ht="12.75">
      <c r="A475" s="21"/>
      <c r="B475" s="22"/>
    </row>
    <row r="476" spans="1:2" ht="12.75">
      <c r="A476" s="21"/>
      <c r="B476" s="22"/>
    </row>
    <row r="477" spans="1:2" ht="12.75">
      <c r="A477" s="21"/>
      <c r="B477" s="22"/>
    </row>
    <row r="478" spans="1:2" ht="12.75">
      <c r="A478" s="21"/>
      <c r="B478" s="22"/>
    </row>
    <row r="479" spans="1:2" ht="12.75">
      <c r="A479" s="21"/>
      <c r="B479" s="22"/>
    </row>
    <row r="480" spans="1:2" ht="12.75">
      <c r="A480" s="21"/>
      <c r="B480" s="22"/>
    </row>
    <row r="481" spans="1:2" ht="12.75">
      <c r="A481" s="21"/>
      <c r="B481" s="22"/>
    </row>
    <row r="482" spans="1:2" ht="12.75">
      <c r="A482" s="21"/>
      <c r="B482" s="22"/>
    </row>
    <row r="483" spans="1:2" ht="12.75">
      <c r="A483" s="21"/>
      <c r="B483" s="22"/>
    </row>
    <row r="484" spans="1:2" ht="12.75">
      <c r="A484" s="21"/>
      <c r="B484" s="22"/>
    </row>
    <row r="485" spans="1:2" ht="12.75">
      <c r="A485" s="21"/>
      <c r="B485" s="22"/>
    </row>
    <row r="486" spans="1:2" ht="12.75">
      <c r="A486" s="21"/>
      <c r="B486" s="22"/>
    </row>
    <row r="487" spans="1:2" ht="12.75">
      <c r="A487" s="21"/>
      <c r="B487" s="22"/>
    </row>
    <row r="488" spans="1:2" ht="12.75">
      <c r="A488" s="21"/>
      <c r="B488" s="22"/>
    </row>
    <row r="489" spans="1:2" ht="12.75">
      <c r="A489" s="21"/>
      <c r="B489" s="22"/>
    </row>
    <row r="490" spans="1:2" ht="12.75">
      <c r="A490" s="21"/>
      <c r="B490" s="22"/>
    </row>
    <row r="491" spans="1:2" ht="12.75">
      <c r="A491" s="21"/>
      <c r="B491" s="22"/>
    </row>
    <row r="492" spans="1:2" ht="12.75">
      <c r="A492" s="21"/>
      <c r="B492" s="22"/>
    </row>
    <row r="493" spans="1:2" ht="12.75">
      <c r="A493" s="21"/>
      <c r="B493" s="22"/>
    </row>
    <row r="494" spans="1:2" ht="12.75">
      <c r="A494" s="21"/>
      <c r="B494" s="22"/>
    </row>
    <row r="495" spans="1:2" ht="12.75">
      <c r="A495" s="21"/>
      <c r="B495" s="22"/>
    </row>
    <row r="496" spans="1:2" ht="12.75">
      <c r="A496" s="21"/>
      <c r="B496" s="22"/>
    </row>
    <row r="497" spans="1:2" ht="12.75">
      <c r="A497" s="21"/>
      <c r="B497" s="22"/>
    </row>
    <row r="498" spans="1:2" ht="12.75">
      <c r="A498" s="21"/>
      <c r="B498" s="22"/>
    </row>
    <row r="499" spans="1:2" ht="12.75">
      <c r="A499" s="21"/>
      <c r="B499" s="22"/>
    </row>
    <row r="500" spans="1:2" ht="12.75">
      <c r="A500" s="21"/>
      <c r="B500" s="22"/>
    </row>
    <row r="501" spans="1:2" ht="12.75">
      <c r="A501" s="21"/>
      <c r="B501" s="22"/>
    </row>
    <row r="502" spans="1:2" ht="12.75">
      <c r="A502" s="21"/>
      <c r="B502" s="22"/>
    </row>
    <row r="503" spans="1:2" ht="12.75">
      <c r="A503" s="21"/>
      <c r="B503" s="22"/>
    </row>
    <row r="504" spans="1:2" ht="12.75">
      <c r="A504" s="21"/>
      <c r="B504" s="22"/>
    </row>
    <row r="505" spans="1:2" ht="12.75">
      <c r="A505" s="21"/>
      <c r="B505" s="22"/>
    </row>
    <row r="506" spans="1:2" ht="12.75">
      <c r="A506" s="21"/>
      <c r="B506" s="22"/>
    </row>
    <row r="507" spans="1:2" ht="12.75">
      <c r="A507" s="21"/>
      <c r="B507" s="22"/>
    </row>
    <row r="508" spans="1:2" ht="12.75">
      <c r="A508" s="21"/>
      <c r="B508" s="22"/>
    </row>
    <row r="509" spans="1:2" ht="12.75">
      <c r="A509" s="21"/>
      <c r="B509" s="22"/>
    </row>
    <row r="510" spans="1:2" ht="12.75">
      <c r="A510" s="21"/>
      <c r="B510" s="22"/>
    </row>
    <row r="511" spans="1:2" ht="12.75">
      <c r="A511" s="21"/>
      <c r="B511" s="22"/>
    </row>
    <row r="512" spans="1:2" ht="12.75">
      <c r="A512" s="21"/>
      <c r="B512" s="22"/>
    </row>
    <row r="513" spans="1:2" ht="12.75">
      <c r="A513" s="21"/>
      <c r="B513" s="22"/>
    </row>
    <row r="514" spans="1:2" ht="12.75">
      <c r="A514" s="21"/>
      <c r="B514" s="22"/>
    </row>
    <row r="515" spans="1:2" ht="12.75">
      <c r="A515" s="21"/>
      <c r="B515" s="22"/>
    </row>
    <row r="516" spans="1:2" ht="12.75">
      <c r="A516" s="21"/>
      <c r="B516" s="22"/>
    </row>
    <row r="517" spans="1:2" ht="12.75">
      <c r="A517" s="21"/>
      <c r="B517" s="22"/>
    </row>
    <row r="518" spans="1:2" ht="12.75">
      <c r="A518" s="21"/>
      <c r="B518" s="22"/>
    </row>
    <row r="519" spans="1:2" ht="12.75">
      <c r="A519" s="21"/>
      <c r="B519" s="22"/>
    </row>
    <row r="520" spans="1:2" ht="12.75">
      <c r="A520" s="21"/>
      <c r="B520" s="22"/>
    </row>
    <row r="521" spans="1:2" ht="12.75">
      <c r="A521" s="21"/>
      <c r="B521" s="22"/>
    </row>
    <row r="522" spans="1:2" ht="12.75">
      <c r="A522" s="21"/>
      <c r="B522" s="22"/>
    </row>
    <row r="523" spans="1:2" ht="12.75">
      <c r="A523" s="21"/>
      <c r="B523" s="22"/>
    </row>
    <row r="524" spans="1:2" ht="12.75">
      <c r="A524" s="21"/>
      <c r="B524" s="22"/>
    </row>
    <row r="525" spans="1:2" ht="12.75">
      <c r="A525" s="21"/>
      <c r="B525" s="22"/>
    </row>
    <row r="526" spans="1:2" ht="12.75">
      <c r="A526" s="21"/>
      <c r="B526" s="22"/>
    </row>
    <row r="527" spans="1:2" ht="12.75">
      <c r="A527" s="21"/>
      <c r="B527" s="22"/>
    </row>
    <row r="528" spans="1:2" ht="12.75">
      <c r="A528" s="21"/>
      <c r="B528" s="22"/>
    </row>
    <row r="529" spans="1:2" ht="12.75">
      <c r="A529" s="21"/>
      <c r="B529" s="22"/>
    </row>
    <row r="530" spans="1:2" ht="12.75">
      <c r="A530" s="21"/>
      <c r="B530" s="22"/>
    </row>
    <row r="531" spans="1:2" ht="12.75">
      <c r="A531" s="21"/>
      <c r="B531" s="22"/>
    </row>
    <row r="532" spans="1:2" ht="12.75">
      <c r="A532" s="21"/>
      <c r="B532" s="22"/>
    </row>
    <row r="533" spans="1:2" ht="12.75">
      <c r="A533" s="21"/>
      <c r="B533" s="22"/>
    </row>
    <row r="534" spans="1:2" ht="12.75">
      <c r="A534" s="21"/>
      <c r="B534" s="22"/>
    </row>
    <row r="535" spans="1:2" ht="12.75">
      <c r="A535" s="21"/>
      <c r="B535" s="22"/>
    </row>
    <row r="536" spans="1:2" ht="12.75">
      <c r="A536" s="21"/>
      <c r="B536" s="22"/>
    </row>
    <row r="537" spans="1:2" ht="12.75">
      <c r="A537" s="21"/>
      <c r="B537" s="22"/>
    </row>
    <row r="538" spans="1:2" ht="12.75">
      <c r="A538" s="21"/>
      <c r="B538" s="22"/>
    </row>
    <row r="539" spans="1:2" ht="12.75">
      <c r="A539" s="21"/>
      <c r="B539" s="22"/>
    </row>
    <row r="540" spans="1:2" ht="12.75">
      <c r="A540" s="21"/>
      <c r="B540" s="22"/>
    </row>
    <row r="541" spans="1:2" ht="12.75">
      <c r="A541" s="21"/>
      <c r="B541" s="22"/>
    </row>
    <row r="542" spans="1:2" ht="12.75">
      <c r="A542" s="21"/>
      <c r="B542" s="22"/>
    </row>
    <row r="543" spans="1:2" ht="12.75">
      <c r="A543" s="21"/>
      <c r="B543" s="22"/>
    </row>
    <row r="544" spans="1:2" ht="12.75">
      <c r="A544" s="21"/>
      <c r="B544" s="22"/>
    </row>
    <row r="545" spans="1:2" ht="12.75">
      <c r="A545" s="21"/>
      <c r="B545" s="22"/>
    </row>
    <row r="546" spans="1:2" ht="12.75">
      <c r="A546" s="21"/>
      <c r="B546" s="22"/>
    </row>
    <row r="547" spans="1:2" ht="12.75">
      <c r="A547" s="21"/>
      <c r="B547" s="22"/>
    </row>
    <row r="548" spans="1:2" ht="12.75">
      <c r="A548" s="21"/>
      <c r="B548" s="22"/>
    </row>
    <row r="549" spans="1:2" ht="12.75">
      <c r="A549" s="21"/>
      <c r="B549" s="22"/>
    </row>
    <row r="550" spans="1:2" ht="12.75">
      <c r="A550" s="21"/>
      <c r="B550" s="22"/>
    </row>
    <row r="551" spans="1:2" ht="12.75">
      <c r="A551" s="21"/>
      <c r="B551" s="22"/>
    </row>
    <row r="552" spans="1:2" ht="12.75">
      <c r="A552" s="21"/>
      <c r="B552" s="22"/>
    </row>
    <row r="553" spans="1:2" ht="12.75">
      <c r="A553" s="21"/>
      <c r="B553" s="22"/>
    </row>
    <row r="554" spans="1:2" ht="12.75">
      <c r="A554" s="21"/>
      <c r="B554" s="22"/>
    </row>
    <row r="555" spans="1:2" ht="12.75">
      <c r="A555" s="21"/>
      <c r="B555" s="22"/>
    </row>
    <row r="556" spans="1:2" ht="12.75">
      <c r="A556" s="21"/>
      <c r="B556" s="22"/>
    </row>
    <row r="557" spans="1:2" ht="12.75">
      <c r="A557" s="21"/>
      <c r="B557" s="22"/>
    </row>
    <row r="558" spans="1:2" ht="12.75">
      <c r="A558" s="21"/>
      <c r="B558" s="22"/>
    </row>
    <row r="559" spans="1:2" ht="12.75">
      <c r="A559" s="21"/>
      <c r="B559" s="22"/>
    </row>
    <row r="560" spans="1:2" ht="12.75">
      <c r="A560" s="21"/>
      <c r="B560" s="22"/>
    </row>
    <row r="561" spans="1:2" ht="12.75">
      <c r="A561" s="21"/>
      <c r="B561" s="22"/>
    </row>
    <row r="562" spans="1:2" ht="12.75">
      <c r="A562" s="21"/>
      <c r="B562" s="22"/>
    </row>
    <row r="563" spans="1:2" ht="12.75">
      <c r="A563" s="21"/>
      <c r="B563" s="22"/>
    </row>
    <row r="564" spans="1:2" ht="12.75">
      <c r="A564" s="21"/>
      <c r="B564" s="22"/>
    </row>
    <row r="565" spans="1:2" ht="12.75">
      <c r="A565" s="21"/>
      <c r="B565" s="22"/>
    </row>
    <row r="566" spans="1:2" ht="12.75">
      <c r="A566" s="21"/>
      <c r="B566" s="22"/>
    </row>
    <row r="567" spans="1:2" ht="12.75">
      <c r="A567" s="21"/>
      <c r="B567" s="22"/>
    </row>
    <row r="568" spans="1:2" ht="12.75">
      <c r="A568" s="21"/>
      <c r="B568" s="22"/>
    </row>
    <row r="569" spans="1:2" ht="12.75">
      <c r="A569" s="21"/>
      <c r="B569" s="22"/>
    </row>
    <row r="570" spans="1:2" ht="12.75">
      <c r="A570" s="21"/>
      <c r="B570" s="22"/>
    </row>
    <row r="571" spans="1:2" ht="12.75">
      <c r="A571" s="21"/>
      <c r="B571" s="22"/>
    </row>
    <row r="572" spans="1:2" ht="12.75">
      <c r="A572" s="21"/>
      <c r="B572" s="22"/>
    </row>
    <row r="573" spans="1:2" ht="12.75">
      <c r="A573" s="21"/>
      <c r="B573" s="22"/>
    </row>
    <row r="574" spans="1:2" ht="12.75">
      <c r="A574" s="21"/>
      <c r="B574" s="22"/>
    </row>
    <row r="575" spans="1:2" ht="12.75">
      <c r="A575" s="21"/>
      <c r="B575" s="22"/>
    </row>
    <row r="576" spans="1:2" ht="12.75">
      <c r="A576" s="21"/>
      <c r="B576" s="22"/>
    </row>
    <row r="577" spans="1:2" ht="12.75">
      <c r="A577" s="21"/>
      <c r="B577" s="22"/>
    </row>
    <row r="578" spans="1:2" ht="12.75">
      <c r="A578" s="21"/>
      <c r="B578" s="22"/>
    </row>
    <row r="579" spans="1:2" ht="12.75">
      <c r="A579" s="21"/>
      <c r="B579" s="22"/>
    </row>
    <row r="580" spans="1:2" ht="12.75">
      <c r="A580" s="21"/>
      <c r="B580" s="22"/>
    </row>
    <row r="581" spans="1:2" ht="12.75">
      <c r="A581" s="21"/>
      <c r="B581" s="22"/>
    </row>
    <row r="582" spans="1:2" ht="12.75">
      <c r="A582" s="21"/>
      <c r="B582" s="22"/>
    </row>
    <row r="583" spans="1:2" ht="12.75">
      <c r="A583" s="21"/>
      <c r="B583" s="22"/>
    </row>
    <row r="584" spans="1:2" ht="12.75">
      <c r="A584" s="21"/>
      <c r="B584" s="22"/>
    </row>
    <row r="585" spans="1:2" ht="12.75">
      <c r="A585" s="21"/>
      <c r="B585" s="22"/>
    </row>
    <row r="586" spans="1:2" ht="12.75">
      <c r="A586" s="21"/>
      <c r="B586" s="22"/>
    </row>
    <row r="587" spans="1:2" ht="12.75">
      <c r="A587" s="21"/>
      <c r="B587" s="22"/>
    </row>
    <row r="588" spans="1:2" ht="12.75">
      <c r="A588" s="21"/>
      <c r="B588" s="22"/>
    </row>
    <row r="589" spans="1:2" ht="12.75">
      <c r="A589" s="21"/>
      <c r="B589" s="22"/>
    </row>
    <row r="590" spans="1:2" ht="12.75">
      <c r="A590" s="21"/>
      <c r="B590" s="22"/>
    </row>
    <row r="591" spans="1:2" ht="12.75">
      <c r="A591" s="21"/>
      <c r="B591" s="22"/>
    </row>
    <row r="592" spans="1:2" ht="12.75">
      <c r="A592" s="21"/>
      <c r="B592" s="22"/>
    </row>
    <row r="593" spans="1:2" ht="12.75">
      <c r="A593" s="21"/>
      <c r="B593" s="22"/>
    </row>
    <row r="594" spans="1:2" ht="12.75">
      <c r="A594" s="21"/>
      <c r="B594" s="22"/>
    </row>
    <row r="595" spans="1:2" ht="12.75">
      <c r="A595" s="21"/>
      <c r="B595" s="22"/>
    </row>
    <row r="596" spans="1:2" ht="12.75">
      <c r="A596" s="21"/>
      <c r="B596" s="22"/>
    </row>
    <row r="597" spans="1:2" ht="12.75">
      <c r="A597" s="21"/>
      <c r="B597" s="22"/>
    </row>
    <row r="598" spans="1:2" ht="12.75">
      <c r="A598" s="21"/>
      <c r="B598" s="22"/>
    </row>
    <row r="599" spans="1:2" ht="12.75">
      <c r="A599" s="21"/>
      <c r="B599" s="22"/>
    </row>
    <row r="600" spans="1:2" ht="12.75">
      <c r="A600" s="21"/>
      <c r="B600" s="22"/>
    </row>
    <row r="601" spans="1:2" ht="12.75">
      <c r="A601" s="21"/>
      <c r="B601" s="22"/>
    </row>
    <row r="602" spans="1:2" ht="12.75">
      <c r="A602" s="21"/>
      <c r="B602" s="22"/>
    </row>
    <row r="603" spans="1:2" ht="12.75">
      <c r="A603" s="21"/>
      <c r="B603" s="22"/>
    </row>
    <row r="604" spans="1:2" ht="12.75">
      <c r="A604" s="21"/>
      <c r="B604" s="22"/>
    </row>
    <row r="605" spans="1:2" ht="12.75">
      <c r="A605" s="21"/>
      <c r="B605" s="22"/>
    </row>
    <row r="606" spans="1:2" ht="12.75">
      <c r="A606" s="21"/>
      <c r="B606" s="22"/>
    </row>
    <row r="607" spans="1:2" ht="12.75">
      <c r="A607" s="21"/>
      <c r="B607" s="22"/>
    </row>
    <row r="608" spans="1:2" ht="12.75">
      <c r="A608" s="21"/>
      <c r="B608" s="22"/>
    </row>
    <row r="609" spans="1:2" ht="12.75">
      <c r="A609" s="21"/>
      <c r="B609" s="22"/>
    </row>
    <row r="610" spans="1:2" ht="12.75">
      <c r="A610" s="21"/>
      <c r="B610" s="22"/>
    </row>
    <row r="611" spans="1:2" ht="12.75">
      <c r="A611" s="21"/>
      <c r="B611" s="22"/>
    </row>
    <row r="612" spans="1:2" ht="12.75">
      <c r="A612" s="21"/>
      <c r="B612" s="22"/>
    </row>
    <row r="613" spans="1:2" ht="12.75">
      <c r="A613" s="21"/>
      <c r="B613" s="22"/>
    </row>
    <row r="614" spans="1:2" ht="12.75">
      <c r="A614" s="21"/>
      <c r="B614" s="22"/>
    </row>
    <row r="615" spans="1:2" ht="12.75">
      <c r="A615" s="21"/>
      <c r="B615" s="22"/>
    </row>
    <row r="616" spans="1:2" ht="12.75">
      <c r="A616" s="21"/>
      <c r="B616" s="22"/>
    </row>
    <row r="617" spans="1:2" ht="12.75">
      <c r="A617" s="21"/>
      <c r="B617" s="22"/>
    </row>
    <row r="618" spans="1:2" ht="12.75">
      <c r="A618" s="21"/>
      <c r="B618" s="22"/>
    </row>
    <row r="619" spans="1:2" ht="12.75">
      <c r="A619" s="21"/>
      <c r="B619" s="22"/>
    </row>
    <row r="620" spans="1:2" ht="12.75">
      <c r="A620" s="21"/>
      <c r="B620" s="22"/>
    </row>
    <row r="621" spans="1:2" ht="12.75">
      <c r="A621" s="21"/>
      <c r="B621" s="22"/>
    </row>
    <row r="622" spans="1:2" ht="12.75">
      <c r="A622" s="21"/>
      <c r="B622" s="22"/>
    </row>
    <row r="623" spans="1:2" ht="12.75">
      <c r="A623" s="21"/>
      <c r="B623" s="22"/>
    </row>
    <row r="624" spans="1:2" ht="12.75">
      <c r="A624" s="21"/>
      <c r="B624" s="22"/>
    </row>
    <row r="625" spans="1:2" ht="12.75">
      <c r="A625" s="21"/>
      <c r="B625" s="22"/>
    </row>
    <row r="626" spans="1:2" ht="12.75">
      <c r="A626" s="21"/>
      <c r="B626" s="22"/>
    </row>
    <row r="627" spans="1:2" ht="12.75">
      <c r="A627" s="21"/>
      <c r="B627" s="22"/>
    </row>
    <row r="628" spans="1:2" ht="12.75">
      <c r="A628" s="21"/>
      <c r="B628" s="22"/>
    </row>
    <row r="629" spans="1:2" ht="12.75">
      <c r="A629" s="21"/>
      <c r="B629" s="22"/>
    </row>
    <row r="630" spans="1:2" ht="12.75">
      <c r="A630" s="21"/>
      <c r="B630" s="22"/>
    </row>
    <row r="631" spans="1:2" ht="12.75">
      <c r="A631" s="21"/>
      <c r="B631" s="22"/>
    </row>
    <row r="632" spans="1:2" ht="12.75">
      <c r="A632" s="21"/>
      <c r="B632" s="22"/>
    </row>
    <row r="633" spans="1:2" ht="12.75">
      <c r="A633" s="21"/>
      <c r="B633" s="22"/>
    </row>
    <row r="634" spans="1:2" ht="12.75">
      <c r="A634" s="21"/>
      <c r="B634" s="22"/>
    </row>
    <row r="635" spans="1:2" ht="12.75">
      <c r="A635" s="21"/>
      <c r="B635" s="22"/>
    </row>
    <row r="636" spans="1:2" ht="12.75">
      <c r="A636" s="21"/>
      <c r="B636" s="22"/>
    </row>
    <row r="637" spans="1:2" ht="12.75">
      <c r="A637" s="21"/>
      <c r="B637" s="22"/>
    </row>
    <row r="638" spans="1:2" ht="12.75">
      <c r="A638" s="21"/>
      <c r="B638" s="22"/>
    </row>
    <row r="639" spans="1:2" ht="12.75">
      <c r="A639" s="21"/>
      <c r="B639" s="22"/>
    </row>
    <row r="640" spans="1:2" ht="12.75">
      <c r="A640" s="21"/>
      <c r="B640" s="22"/>
    </row>
    <row r="641" spans="1:2" ht="12.75">
      <c r="A641" s="21"/>
      <c r="B641" s="22"/>
    </row>
    <row r="642" spans="1:2" ht="12.75">
      <c r="A642" s="21"/>
      <c r="B642" s="22"/>
    </row>
    <row r="643" spans="1:2" ht="12.75">
      <c r="A643" s="21"/>
      <c r="B643" s="22"/>
    </row>
    <row r="644" spans="1:2" ht="12.75">
      <c r="A644" s="21"/>
      <c r="B644" s="22"/>
    </row>
    <row r="645" spans="1:2" ht="12.75">
      <c r="A645" s="21"/>
      <c r="B645" s="22"/>
    </row>
    <row r="646" spans="1:2" ht="12.75">
      <c r="A646" s="21"/>
      <c r="B646" s="22"/>
    </row>
    <row r="647" spans="1:2" ht="12.75">
      <c r="A647" s="21"/>
      <c r="B647" s="22"/>
    </row>
    <row r="648" spans="1:2" ht="12.75">
      <c r="A648" s="21"/>
      <c r="B648" s="22"/>
    </row>
    <row r="649" spans="1:2" ht="12.75">
      <c r="A649" s="21"/>
      <c r="B649" s="22"/>
    </row>
    <row r="650" spans="1:2" ht="12.75">
      <c r="A650" s="21"/>
      <c r="B650" s="22"/>
    </row>
    <row r="651" spans="1:2" ht="12.75">
      <c r="A651" s="21"/>
      <c r="B651" s="22"/>
    </row>
    <row r="652" spans="1:2" ht="12.75">
      <c r="A652" s="21"/>
      <c r="B652" s="22"/>
    </row>
    <row r="653" spans="1:2" ht="12.75">
      <c r="A653" s="21"/>
      <c r="B653" s="22"/>
    </row>
    <row r="654" spans="1:2" ht="12.75">
      <c r="A654" s="21"/>
      <c r="B654" s="22"/>
    </row>
    <row r="655" spans="1:2" ht="12.75">
      <c r="A655" s="21"/>
      <c r="B655" s="22"/>
    </row>
    <row r="656" spans="1:2" ht="12.75">
      <c r="A656" s="21"/>
      <c r="B656" s="22"/>
    </row>
    <row r="657" spans="1:2" ht="12.75">
      <c r="A657" s="21"/>
      <c r="B657" s="22"/>
    </row>
    <row r="658" spans="1:2" ht="12.75">
      <c r="A658" s="21"/>
      <c r="B658" s="22"/>
    </row>
    <row r="659" spans="1:2" ht="12.75">
      <c r="A659" s="21"/>
      <c r="B659" s="22"/>
    </row>
    <row r="660" spans="1:2" ht="12.75">
      <c r="A660" s="21"/>
      <c r="B660" s="22"/>
    </row>
    <row r="661" spans="1:2" ht="12.75">
      <c r="A661" s="21"/>
      <c r="B661" s="22"/>
    </row>
    <row r="662" spans="1:2" ht="12.75">
      <c r="A662" s="21"/>
      <c r="B662" s="22"/>
    </row>
    <row r="663" spans="1:2" ht="12.75">
      <c r="A663" s="21"/>
      <c r="B663" s="22"/>
    </row>
    <row r="664" spans="1:2" ht="12.75">
      <c r="A664" s="21"/>
      <c r="B664" s="22"/>
    </row>
    <row r="665" spans="1:2" ht="12.75">
      <c r="A665" s="21"/>
      <c r="B665" s="22"/>
    </row>
    <row r="666" spans="1:2" ht="12.75">
      <c r="A666" s="21"/>
      <c r="B666" s="22"/>
    </row>
    <row r="667" spans="1:2" ht="12.75">
      <c r="A667" s="21"/>
      <c r="B667" s="22"/>
    </row>
    <row r="668" spans="1:2" ht="12.75">
      <c r="A668" s="21"/>
      <c r="B668" s="22"/>
    </row>
    <row r="669" spans="1:2" ht="12.75">
      <c r="A669" s="21"/>
      <c r="B669" s="22"/>
    </row>
    <row r="670" spans="1:2" ht="12.75">
      <c r="A670" s="21"/>
      <c r="B670" s="22"/>
    </row>
    <row r="671" spans="1:2" ht="12.75">
      <c r="A671" s="21"/>
      <c r="B671" s="22"/>
    </row>
    <row r="672" spans="1:2" ht="12.75">
      <c r="A672" s="21"/>
      <c r="B672" s="22"/>
    </row>
    <row r="673" spans="1:2" ht="12.75">
      <c r="A673" s="21"/>
      <c r="B673" s="22"/>
    </row>
    <row r="674" spans="1:2" ht="12.75">
      <c r="A674" s="21"/>
      <c r="B674" s="22"/>
    </row>
    <row r="675" spans="1:2" ht="12.75">
      <c r="A675" s="21"/>
      <c r="B675" s="22"/>
    </row>
    <row r="676" spans="1:2" ht="12.75">
      <c r="A676" s="21"/>
      <c r="B676" s="22"/>
    </row>
    <row r="677" spans="1:2" ht="12.75">
      <c r="A677" s="21"/>
      <c r="B677" s="22"/>
    </row>
    <row r="678" spans="1:2" ht="12.75">
      <c r="A678" s="21"/>
      <c r="B678" s="22"/>
    </row>
    <row r="679" spans="1:2" ht="12.75">
      <c r="A679" s="21"/>
      <c r="B679" s="22"/>
    </row>
    <row r="680" spans="1:2" ht="12.75">
      <c r="A680" s="21"/>
      <c r="B680" s="22"/>
    </row>
    <row r="681" spans="1:2" ht="12.75">
      <c r="A681" s="21"/>
      <c r="B681" s="22"/>
    </row>
    <row r="682" spans="1:2" ht="12.75">
      <c r="A682" s="21"/>
      <c r="B682" s="22"/>
    </row>
    <row r="683" spans="1:2" ht="12.75">
      <c r="A683" s="21"/>
      <c r="B683" s="22"/>
    </row>
    <row r="684" spans="1:2" ht="12.75">
      <c r="A684" s="21"/>
      <c r="B684" s="22"/>
    </row>
    <row r="685" spans="1:2" ht="12.75">
      <c r="A685" s="21"/>
      <c r="B685" s="22"/>
    </row>
    <row r="686" spans="1:2" ht="12.75">
      <c r="A686" s="21"/>
      <c r="B686" s="22"/>
    </row>
    <row r="687" spans="1:2" ht="12.75">
      <c r="A687" s="21"/>
      <c r="B687" s="22"/>
    </row>
    <row r="688" spans="1:2" ht="12.75">
      <c r="A688" s="21"/>
      <c r="B688" s="22"/>
    </row>
    <row r="689" spans="1:2" ht="12.75">
      <c r="A689" s="21"/>
      <c r="B689" s="22"/>
    </row>
    <row r="690" spans="1:2" ht="12.75">
      <c r="A690" s="21"/>
      <c r="B690" s="22"/>
    </row>
    <row r="691" spans="1:2" ht="12.75">
      <c r="A691" s="21"/>
      <c r="B691" s="22"/>
    </row>
    <row r="692" spans="1:2" ht="12.75">
      <c r="A692" s="21"/>
      <c r="B692" s="22"/>
    </row>
    <row r="693" spans="1:2" ht="12.75">
      <c r="A693" s="21"/>
      <c r="B693" s="22"/>
    </row>
    <row r="694" spans="1:2" ht="12.75">
      <c r="A694" s="21"/>
      <c r="B694" s="22"/>
    </row>
    <row r="695" spans="1:2" ht="12.75">
      <c r="A695" s="21"/>
      <c r="B695" s="22"/>
    </row>
    <row r="696" spans="1:2" ht="12.75">
      <c r="A696" s="21"/>
      <c r="B696" s="22"/>
    </row>
    <row r="697" spans="1:2" ht="12.75">
      <c r="A697" s="21"/>
      <c r="B697" s="22"/>
    </row>
    <row r="698" spans="1:2" ht="12.75">
      <c r="A698" s="21"/>
      <c r="B698" s="22"/>
    </row>
    <row r="699" spans="1:2" ht="12.75">
      <c r="A699" s="21"/>
      <c r="B699" s="22"/>
    </row>
    <row r="700" spans="1:2" ht="12.75">
      <c r="A700" s="21"/>
      <c r="B700" s="22"/>
    </row>
    <row r="701" spans="1:2" ht="12.75">
      <c r="A701" s="21"/>
      <c r="B701" s="22"/>
    </row>
    <row r="702" spans="1:2" ht="12.75">
      <c r="A702" s="21"/>
      <c r="B702" s="22"/>
    </row>
    <row r="703" spans="1:2" ht="12.75">
      <c r="A703" s="21"/>
      <c r="B703" s="22"/>
    </row>
    <row r="704" spans="1:2" ht="12.75">
      <c r="A704" s="21"/>
      <c r="B704" s="22"/>
    </row>
    <row r="705" spans="1:2" ht="12.75">
      <c r="A705" s="21"/>
      <c r="B705" s="22"/>
    </row>
    <row r="706" spans="1:2" ht="12.75">
      <c r="A706" s="21"/>
      <c r="B706" s="22"/>
    </row>
    <row r="707" spans="1:2" ht="12.75">
      <c r="A707" s="21"/>
      <c r="B707" s="22"/>
    </row>
    <row r="708" spans="1:2" ht="12.75">
      <c r="A708" s="21"/>
      <c r="B708" s="22"/>
    </row>
    <row r="709" spans="1:2" ht="12.75">
      <c r="A709" s="21"/>
      <c r="B709" s="22"/>
    </row>
    <row r="710" spans="1:2" ht="12.75">
      <c r="A710" s="21"/>
      <c r="B710" s="22"/>
    </row>
    <row r="711" spans="1:2" ht="12.75">
      <c r="A711" s="21"/>
      <c r="B711" s="22"/>
    </row>
    <row r="712" spans="1:2" ht="12.75">
      <c r="A712" s="21"/>
      <c r="B712" s="22"/>
    </row>
    <row r="713" spans="1:2" ht="12.75">
      <c r="A713" s="21"/>
      <c r="B713" s="22"/>
    </row>
    <row r="714" spans="1:2" ht="12.75">
      <c r="A714" s="21"/>
      <c r="B714" s="22"/>
    </row>
    <row r="715" spans="1:2" ht="12.75">
      <c r="A715" s="21"/>
      <c r="B715" s="22"/>
    </row>
    <row r="716" spans="1:2" ht="12.75">
      <c r="A716" s="21"/>
      <c r="B716" s="22"/>
    </row>
    <row r="717" spans="1:2" ht="12.75">
      <c r="A717" s="21"/>
      <c r="B717" s="22"/>
    </row>
    <row r="718" spans="1:2" ht="12.75">
      <c r="A718" s="21"/>
      <c r="B718" s="22"/>
    </row>
    <row r="719" spans="1:2" ht="12.75">
      <c r="A719" s="21"/>
      <c r="B719" s="22"/>
    </row>
    <row r="720" spans="1:2" ht="12.75">
      <c r="A720" s="21"/>
      <c r="B720" s="22"/>
    </row>
    <row r="721" spans="1:2" ht="12.75">
      <c r="A721" s="21"/>
      <c r="B721" s="22"/>
    </row>
    <row r="722" spans="1:2" ht="12.75">
      <c r="A722" s="21"/>
      <c r="B722" s="22"/>
    </row>
    <row r="723" spans="1:2" ht="12.75">
      <c r="A723" s="21"/>
      <c r="B723" s="22"/>
    </row>
    <row r="724" spans="1:2" ht="12.75">
      <c r="A724" s="21"/>
      <c r="B724" s="22"/>
    </row>
    <row r="725" spans="1:2" ht="12.75">
      <c r="A725" s="21"/>
      <c r="B725" s="22"/>
    </row>
    <row r="726" spans="1:2" ht="12.75">
      <c r="A726" s="21"/>
      <c r="B726" s="22"/>
    </row>
    <row r="727" spans="1:2" ht="12.75">
      <c r="A727" s="21"/>
      <c r="B727" s="22"/>
    </row>
    <row r="728" spans="1:2" ht="12.75">
      <c r="A728" s="21"/>
      <c r="B728" s="22"/>
    </row>
    <row r="729" spans="1:2" ht="12.75">
      <c r="A729" s="21"/>
      <c r="B729" s="22"/>
    </row>
    <row r="730" spans="1:2" ht="12.75">
      <c r="A730" s="21"/>
      <c r="B730" s="22"/>
    </row>
    <row r="731" spans="1:2" ht="12.75">
      <c r="A731" s="21"/>
      <c r="B731" s="22"/>
    </row>
    <row r="732" spans="1:2" ht="12.75">
      <c r="A732" s="21"/>
      <c r="B732" s="22"/>
    </row>
    <row r="733" spans="1:2" ht="12.75">
      <c r="A733" s="21"/>
      <c r="B733" s="22"/>
    </row>
    <row r="734" spans="1:2" ht="12.75">
      <c r="A734" s="21"/>
      <c r="B734" s="22"/>
    </row>
    <row r="735" spans="1:2" ht="12.75">
      <c r="A735" s="21"/>
      <c r="B735" s="22"/>
    </row>
    <row r="736" spans="1:2" ht="12.75">
      <c r="A736" s="21"/>
      <c r="B736" s="22"/>
    </row>
    <row r="737" spans="1:2" ht="12.75">
      <c r="A737" s="21"/>
      <c r="B737" s="22"/>
    </row>
    <row r="738" spans="1:2" ht="12.75">
      <c r="A738" s="21"/>
      <c r="B738" s="22"/>
    </row>
    <row r="739" spans="1:2" ht="12.75">
      <c r="A739" s="21"/>
      <c r="B739" s="22"/>
    </row>
    <row r="740" spans="1:2" ht="12.75">
      <c r="A740" s="21"/>
      <c r="B740" s="22"/>
    </row>
    <row r="741" spans="1:2" ht="12.75">
      <c r="A741" s="21"/>
      <c r="B741" s="22"/>
    </row>
    <row r="742" spans="1:2" ht="12.75">
      <c r="A742" s="21"/>
      <c r="B742" s="22"/>
    </row>
    <row r="743" spans="1:2" ht="12.75">
      <c r="A743" s="21"/>
      <c r="B743" s="22"/>
    </row>
    <row r="744" spans="1:2" ht="12.75">
      <c r="A744" s="21"/>
      <c r="B744" s="22"/>
    </row>
    <row r="745" spans="1:2" ht="12.75">
      <c r="A745" s="21"/>
      <c r="B745" s="22"/>
    </row>
    <row r="746" spans="1:2" ht="12.75">
      <c r="A746" s="21"/>
      <c r="B746" s="22"/>
    </row>
    <row r="747" spans="1:2" ht="12.75">
      <c r="A747" s="21"/>
      <c r="B747" s="22"/>
    </row>
    <row r="748" spans="1:2" ht="12.75">
      <c r="A748" s="21"/>
      <c r="B748" s="22"/>
    </row>
    <row r="749" spans="1:2" ht="12.75">
      <c r="A749" s="21"/>
      <c r="B749" s="22"/>
    </row>
    <row r="750" spans="1:2" ht="12.75">
      <c r="A750" s="21"/>
      <c r="B750" s="22"/>
    </row>
    <row r="751" spans="1:2" ht="12.75">
      <c r="A751" s="21"/>
      <c r="B751" s="22"/>
    </row>
    <row r="752" spans="1:2" ht="12.75">
      <c r="A752" s="21"/>
      <c r="B752" s="22"/>
    </row>
    <row r="753" spans="1:2" ht="12.75">
      <c r="A753" s="21"/>
      <c r="B753" s="22"/>
    </row>
    <row r="754" spans="1:2" ht="12.75">
      <c r="A754" s="21"/>
      <c r="B754" s="22"/>
    </row>
    <row r="755" spans="1:2" ht="12.75">
      <c r="A755" s="21"/>
      <c r="B755" s="22"/>
    </row>
    <row r="756" spans="1:2" ht="12.75">
      <c r="A756" s="21"/>
      <c r="B756" s="22"/>
    </row>
    <row r="757" spans="1:2" ht="12.75">
      <c r="A757" s="21"/>
      <c r="B757" s="22"/>
    </row>
    <row r="758" spans="1:2" ht="12.75">
      <c r="A758" s="21"/>
      <c r="B758" s="22"/>
    </row>
    <row r="759" spans="1:2" ht="12.75">
      <c r="A759" s="21"/>
      <c r="B759" s="22"/>
    </row>
    <row r="760" spans="1:2" ht="12.75">
      <c r="A760" s="21"/>
      <c r="B760" s="22"/>
    </row>
    <row r="761" spans="1:2" ht="12.75">
      <c r="A761" s="21"/>
      <c r="B761" s="22"/>
    </row>
    <row r="762" spans="1:2" ht="12.75">
      <c r="A762" s="21"/>
      <c r="B762" s="22"/>
    </row>
    <row r="763" spans="1:2" ht="12.75">
      <c r="A763" s="21"/>
      <c r="B763" s="22"/>
    </row>
    <row r="764" spans="1:2" ht="12.75">
      <c r="A764" s="21"/>
      <c r="B764" s="22"/>
    </row>
    <row r="765" spans="1:2" ht="12.75">
      <c r="A765" s="21"/>
      <c r="B765" s="22"/>
    </row>
    <row r="766" spans="1:2" ht="12.75">
      <c r="A766" s="21"/>
      <c r="B766" s="22"/>
    </row>
    <row r="767" spans="1:2" ht="12.75">
      <c r="A767" s="21"/>
      <c r="B767" s="22"/>
    </row>
    <row r="768" spans="1:2" ht="12.75">
      <c r="A768" s="21"/>
      <c r="B768" s="22"/>
    </row>
    <row r="769" spans="1:2" ht="12.75">
      <c r="A769" s="21"/>
      <c r="B769" s="22"/>
    </row>
    <row r="770" spans="1:2" ht="12.75">
      <c r="A770" s="21"/>
      <c r="B770" s="22"/>
    </row>
    <row r="771" spans="1:2" ht="12.75">
      <c r="A771" s="21"/>
      <c r="B771" s="22"/>
    </row>
    <row r="772" spans="1:2" ht="12.75">
      <c r="A772" s="21"/>
      <c r="B772" s="22"/>
    </row>
    <row r="773" spans="1:2" ht="12.75">
      <c r="A773" s="21"/>
      <c r="B773" s="22"/>
    </row>
    <row r="774" spans="1:2" ht="12.75">
      <c r="A774" s="21"/>
      <c r="B774" s="22"/>
    </row>
    <row r="775" spans="1:2" ht="12.75">
      <c r="A775" s="21"/>
      <c r="B775" s="22"/>
    </row>
    <row r="776" spans="1:2" ht="12.75">
      <c r="A776" s="21"/>
      <c r="B776" s="22"/>
    </row>
    <row r="777" spans="1:2" ht="12.75">
      <c r="A777" s="21"/>
      <c r="B777" s="22"/>
    </row>
    <row r="778" spans="1:2" ht="12.75">
      <c r="A778" s="21"/>
      <c r="B778" s="22"/>
    </row>
    <row r="779" spans="1:2" ht="12.75">
      <c r="A779" s="21"/>
      <c r="B779" s="22"/>
    </row>
    <row r="780" spans="1:2" ht="12.75">
      <c r="A780" s="21"/>
      <c r="B780" s="22"/>
    </row>
    <row r="781" spans="1:2" ht="12.75">
      <c r="A781" s="21"/>
      <c r="B781" s="22"/>
    </row>
    <row r="782" spans="1:2" ht="12.75">
      <c r="A782" s="21"/>
      <c r="B782" s="22"/>
    </row>
    <row r="783" spans="1:2" ht="12.75">
      <c r="A783" s="21"/>
      <c r="B783" s="22"/>
    </row>
    <row r="784" spans="1:2" ht="12.75">
      <c r="A784" s="21"/>
      <c r="B784" s="22"/>
    </row>
    <row r="785" spans="1:2" ht="12.75">
      <c r="A785" s="21"/>
      <c r="B785" s="22"/>
    </row>
    <row r="786" spans="1:2" ht="12.75">
      <c r="A786" s="21"/>
      <c r="B786" s="22"/>
    </row>
    <row r="787" spans="1:2" ht="12.75">
      <c r="A787" s="21"/>
      <c r="B787" s="22"/>
    </row>
    <row r="788" spans="1:2" ht="12.75">
      <c r="A788" s="21"/>
      <c r="B788" s="22"/>
    </row>
    <row r="789" spans="1:2" ht="12.75">
      <c r="A789" s="21"/>
      <c r="B789" s="22"/>
    </row>
    <row r="790" spans="1:2" ht="12.75">
      <c r="A790" s="21"/>
      <c r="B790" s="22"/>
    </row>
    <row r="791" spans="1:2" ht="12.75">
      <c r="A791" s="21"/>
      <c r="B791" s="22"/>
    </row>
    <row r="792" spans="1:2" ht="12.75">
      <c r="A792" s="21"/>
      <c r="B792" s="22"/>
    </row>
    <row r="793" spans="1:2" ht="12.75">
      <c r="A793" s="21"/>
      <c r="B793" s="22"/>
    </row>
    <row r="794" spans="1:2" ht="12.75">
      <c r="A794" s="21"/>
      <c r="B794" s="22"/>
    </row>
    <row r="795" spans="1:2" ht="12.75">
      <c r="A795" s="21"/>
      <c r="B795" s="22"/>
    </row>
    <row r="796" spans="1:2" ht="12.75">
      <c r="A796" s="21"/>
      <c r="B796" s="22"/>
    </row>
    <row r="797" spans="1:2" ht="12.75">
      <c r="A797" s="21"/>
      <c r="B797" s="22"/>
    </row>
    <row r="798" spans="1:2" ht="12.75">
      <c r="A798" s="21"/>
      <c r="B798" s="22"/>
    </row>
    <row r="799" spans="1:2" ht="12.75">
      <c r="A799" s="21"/>
      <c r="B799" s="22"/>
    </row>
    <row r="800" spans="1:2" ht="12.75">
      <c r="A800" s="21"/>
      <c r="B800" s="22"/>
    </row>
    <row r="801" spans="1:2" ht="12.75">
      <c r="A801" s="21"/>
      <c r="B801" s="22"/>
    </row>
    <row r="802" spans="1:2" ht="12.75">
      <c r="A802" s="21"/>
      <c r="B802" s="22"/>
    </row>
    <row r="803" spans="1:2" ht="12.75">
      <c r="A803" s="21"/>
      <c r="B803" s="22"/>
    </row>
    <row r="804" spans="1:2" ht="12.75">
      <c r="A804" s="21"/>
      <c r="B804" s="22"/>
    </row>
    <row r="805" spans="1:2" ht="12.75">
      <c r="A805" s="21"/>
      <c r="B805" s="22"/>
    </row>
    <row r="806" spans="1:2" ht="12.75">
      <c r="A806" s="21"/>
      <c r="B806" s="22"/>
    </row>
    <row r="807" spans="1:2" ht="12.75">
      <c r="A807" s="21"/>
      <c r="B807" s="22"/>
    </row>
    <row r="808" spans="1:2" ht="12.75">
      <c r="A808" s="21"/>
      <c r="B808" s="22"/>
    </row>
    <row r="809" spans="1:2" ht="12.75">
      <c r="A809" s="21"/>
      <c r="B809" s="22"/>
    </row>
    <row r="810" spans="1:2" ht="12.75">
      <c r="A810" s="21"/>
      <c r="B810" s="22"/>
    </row>
    <row r="811" spans="1:2" ht="12.75">
      <c r="A811" s="21"/>
      <c r="B811" s="22"/>
    </row>
    <row r="812" spans="1:2" ht="12.75">
      <c r="A812" s="21"/>
      <c r="B812" s="22"/>
    </row>
    <row r="813" spans="1:2" ht="12.75">
      <c r="A813" s="21"/>
      <c r="B813" s="22"/>
    </row>
    <row r="814" spans="1:2" ht="12.75">
      <c r="A814" s="21"/>
      <c r="B814" s="22"/>
    </row>
    <row r="815" spans="1:2" ht="12.75">
      <c r="A815" s="21"/>
      <c r="B815" s="22"/>
    </row>
    <row r="816" spans="1:2" ht="12.75">
      <c r="A816" s="21"/>
      <c r="B816" s="22"/>
    </row>
    <row r="817" spans="1:2" ht="12.75">
      <c r="A817" s="21"/>
      <c r="B817" s="22"/>
    </row>
    <row r="818" spans="1:2" ht="12.75">
      <c r="A818" s="21"/>
      <c r="B818" s="22"/>
    </row>
    <row r="819" spans="1:2" ht="12.75">
      <c r="A819" s="21"/>
      <c r="B819" s="22"/>
    </row>
    <row r="820" spans="1:2" ht="12.75">
      <c r="A820" s="21"/>
      <c r="B820" s="22"/>
    </row>
    <row r="821" spans="1:2" ht="12.75">
      <c r="A821" s="21"/>
      <c r="B821" s="22"/>
    </row>
    <row r="822" spans="1:2" ht="12.75">
      <c r="A822" s="21"/>
      <c r="B822" s="22"/>
    </row>
    <row r="823" spans="1:2" ht="12.75">
      <c r="A823" s="21"/>
      <c r="B823" s="22"/>
    </row>
    <row r="824" spans="1:2" ht="12.75">
      <c r="A824" s="21"/>
      <c r="B824" s="22"/>
    </row>
    <row r="825" spans="1:2" ht="12.75">
      <c r="A825" s="21"/>
      <c r="B825" s="22"/>
    </row>
    <row r="826" spans="1:2" ht="12.75">
      <c r="A826" s="21"/>
      <c r="B826" s="22"/>
    </row>
    <row r="827" spans="1:2" ht="12.75">
      <c r="A827" s="21"/>
      <c r="B827" s="22"/>
    </row>
    <row r="828" spans="1:2" ht="12.75">
      <c r="A828" s="21"/>
      <c r="B828" s="22"/>
    </row>
    <row r="829" spans="1:2" ht="12.75">
      <c r="A829" s="21"/>
      <c r="B829" s="22"/>
    </row>
    <row r="830" spans="1:2" ht="12.75">
      <c r="A830" s="21"/>
      <c r="B830" s="22"/>
    </row>
    <row r="831" spans="1:2" ht="12.75">
      <c r="A831" s="21"/>
      <c r="B831" s="22"/>
    </row>
    <row r="832" spans="1:2" ht="12.75">
      <c r="A832" s="21"/>
      <c r="B832" s="22"/>
    </row>
    <row r="833" spans="1:2" ht="12.75">
      <c r="A833" s="21"/>
      <c r="B833" s="22"/>
    </row>
    <row r="834" spans="1:2" ht="12.75">
      <c r="A834" s="21"/>
      <c r="B834" s="22"/>
    </row>
    <row r="835" spans="1:2" ht="12.75">
      <c r="A835" s="21"/>
      <c r="B835" s="22"/>
    </row>
    <row r="836" spans="1:2" ht="12.75">
      <c r="A836" s="21"/>
      <c r="B836" s="22"/>
    </row>
    <row r="837" spans="1:2" ht="12.75">
      <c r="A837" s="21"/>
      <c r="B837" s="22"/>
    </row>
    <row r="838" spans="1:2" ht="12.75">
      <c r="A838" s="21"/>
      <c r="B838" s="22"/>
    </row>
    <row r="839" spans="1:2" ht="12.75">
      <c r="A839" s="21"/>
      <c r="B839" s="22"/>
    </row>
    <row r="840" spans="1:2" ht="12.75">
      <c r="A840" s="21"/>
      <c r="B840" s="22"/>
    </row>
    <row r="841" spans="1:2" ht="12.75">
      <c r="A841" s="21"/>
      <c r="B841" s="22"/>
    </row>
    <row r="842" spans="1:2" ht="12.75">
      <c r="A842" s="21"/>
      <c r="B842" s="22"/>
    </row>
    <row r="843" spans="1:2" ht="12.75">
      <c r="A843" s="21"/>
      <c r="B843" s="22"/>
    </row>
    <row r="844" spans="1:2" ht="12.75">
      <c r="A844" s="21"/>
      <c r="B844" s="22"/>
    </row>
    <row r="845" spans="1:2" ht="12.75">
      <c r="A845" s="21"/>
      <c r="B845" s="22"/>
    </row>
    <row r="846" spans="1:2" ht="12.75">
      <c r="A846" s="21"/>
      <c r="B846" s="22"/>
    </row>
    <row r="847" spans="1:2" ht="12.75">
      <c r="A847" s="21"/>
      <c r="B847" s="22"/>
    </row>
    <row r="848" spans="1:2" ht="12.75">
      <c r="A848" s="21"/>
      <c r="B848" s="22"/>
    </row>
    <row r="849" spans="1:2" ht="12.75">
      <c r="A849" s="21"/>
      <c r="B849" s="22"/>
    </row>
    <row r="850" spans="1:2" ht="12.75">
      <c r="A850" s="21"/>
      <c r="B850" s="22"/>
    </row>
    <row r="851" spans="1:2" ht="12.75">
      <c r="A851" s="21"/>
      <c r="B851" s="22"/>
    </row>
    <row r="852" spans="1:2" ht="12.75">
      <c r="A852" s="21"/>
      <c r="B852" s="22"/>
    </row>
    <row r="853" spans="1:2" ht="12.75">
      <c r="A853" s="21"/>
      <c r="B853" s="22"/>
    </row>
    <row r="854" spans="1:2" ht="12.75">
      <c r="A854" s="21"/>
      <c r="B854" s="22"/>
    </row>
    <row r="855" spans="1:2" ht="12.75">
      <c r="A855" s="21"/>
      <c r="B855" s="22"/>
    </row>
    <row r="856" spans="1:2" ht="12.75">
      <c r="A856" s="21"/>
      <c r="B856" s="22"/>
    </row>
    <row r="857" spans="1:2" ht="12.75">
      <c r="A857" s="21"/>
      <c r="B857" s="22"/>
    </row>
    <row r="858" spans="1:2" ht="12.75">
      <c r="A858" s="21"/>
      <c r="B858" s="22"/>
    </row>
    <row r="859" spans="1:2" ht="12.75">
      <c r="A859" s="21"/>
      <c r="B859" s="22"/>
    </row>
    <row r="860" spans="1:2" ht="12.75">
      <c r="A860" s="21"/>
      <c r="B860" s="22"/>
    </row>
    <row r="861" spans="1:2" ht="12.75">
      <c r="A861" s="21"/>
      <c r="B861" s="22"/>
    </row>
    <row r="862" spans="1:2" ht="12.75">
      <c r="A862" s="21"/>
      <c r="B862" s="22"/>
    </row>
    <row r="863" spans="1:2" ht="12.75">
      <c r="A863" s="21"/>
      <c r="B863" s="22"/>
    </row>
    <row r="864" spans="1:2" ht="12.75">
      <c r="A864" s="21"/>
      <c r="B864" s="22"/>
    </row>
    <row r="865" spans="1:2" ht="12.75">
      <c r="A865" s="21"/>
      <c r="B865" s="22"/>
    </row>
    <row r="866" spans="1:2" ht="12.75">
      <c r="A866" s="21"/>
      <c r="B866" s="22"/>
    </row>
    <row r="867" spans="1:2" ht="12.75">
      <c r="A867" s="21"/>
      <c r="B867" s="22"/>
    </row>
    <row r="868" spans="1:2" ht="12.75">
      <c r="A868" s="21"/>
      <c r="B868" s="22"/>
    </row>
    <row r="869" spans="1:2" ht="12.75">
      <c r="A869" s="21"/>
      <c r="B869" s="22"/>
    </row>
    <row r="870" spans="1:2" ht="12.75">
      <c r="A870" s="21"/>
      <c r="B870" s="22"/>
    </row>
    <row r="871" spans="1:2" ht="12.75">
      <c r="A871" s="21"/>
      <c r="B871" s="22"/>
    </row>
    <row r="872" spans="1:2" ht="12.75">
      <c r="A872" s="21"/>
      <c r="B872" s="22"/>
    </row>
    <row r="873" spans="1:2" ht="12.75">
      <c r="A873" s="21"/>
      <c r="B873" s="22"/>
    </row>
    <row r="874" spans="1:2" ht="12.75">
      <c r="A874" s="21"/>
      <c r="B874" s="22"/>
    </row>
    <row r="875" spans="1:2" ht="12.75">
      <c r="A875" s="21"/>
      <c r="B875" s="22"/>
    </row>
    <row r="876" spans="1:2" ht="12.75">
      <c r="A876" s="21"/>
      <c r="B876" s="22"/>
    </row>
    <row r="877" spans="1:2" ht="12.75">
      <c r="A877" s="21"/>
      <c r="B877" s="22"/>
    </row>
    <row r="878" spans="1:2" ht="12.75">
      <c r="A878" s="21"/>
      <c r="B878" s="22"/>
    </row>
    <row r="879" spans="1:2" ht="12.75">
      <c r="A879" s="21"/>
      <c r="B879" s="22"/>
    </row>
    <row r="880" spans="1:2" ht="12.75">
      <c r="A880" s="21"/>
      <c r="B880" s="22"/>
    </row>
    <row r="881" spans="1:2" ht="12.75">
      <c r="A881" s="21"/>
      <c r="B881" s="22"/>
    </row>
    <row r="882" spans="1:2" ht="12.75">
      <c r="A882" s="21"/>
      <c r="B882" s="22"/>
    </row>
    <row r="883" spans="1:2" ht="12.75">
      <c r="A883" s="21"/>
      <c r="B883" s="22"/>
    </row>
    <row r="884" spans="1:2" ht="12.75">
      <c r="A884" s="21"/>
      <c r="B884" s="22"/>
    </row>
    <row r="885" spans="1:2" ht="12.75">
      <c r="A885" s="21"/>
      <c r="B885" s="22"/>
    </row>
    <row r="886" spans="1:2" ht="12.75">
      <c r="A886" s="21"/>
      <c r="B886" s="22"/>
    </row>
    <row r="887" spans="1:2" ht="12.75">
      <c r="A887" s="21"/>
      <c r="B887" s="22"/>
    </row>
    <row r="888" spans="1:2" ht="12.75">
      <c r="A888" s="21"/>
      <c r="B888" s="22"/>
    </row>
    <row r="889" spans="1:2" ht="12.75">
      <c r="A889" s="21"/>
      <c r="B889" s="22"/>
    </row>
    <row r="890" spans="1:2" ht="12.75">
      <c r="A890" s="21"/>
      <c r="B890" s="22"/>
    </row>
    <row r="891" spans="1:2" ht="12.75">
      <c r="A891" s="21"/>
      <c r="B891" s="22"/>
    </row>
    <row r="892" spans="1:2" ht="12.75">
      <c r="A892" s="21"/>
      <c r="B892" s="22"/>
    </row>
    <row r="893" spans="1:2" ht="12.75">
      <c r="A893" s="21"/>
      <c r="B893" s="22"/>
    </row>
    <row r="894" spans="1:2" ht="12.75">
      <c r="A894" s="21"/>
      <c r="B894" s="22"/>
    </row>
    <row r="895" spans="1:2" ht="12.75">
      <c r="A895" s="21"/>
      <c r="B895" s="22"/>
    </row>
    <row r="896" spans="1:2" ht="12.75">
      <c r="A896" s="21"/>
      <c r="B896" s="22"/>
    </row>
    <row r="897" spans="1:2" ht="12.75">
      <c r="A897" s="21"/>
      <c r="B897" s="22"/>
    </row>
    <row r="898" spans="1:2" ht="12.75">
      <c r="A898" s="21"/>
      <c r="B898" s="22"/>
    </row>
    <row r="899" spans="1:2" ht="12.75">
      <c r="A899" s="21"/>
      <c r="B899" s="22"/>
    </row>
    <row r="900" spans="1:2" ht="12.75">
      <c r="A900" s="21"/>
      <c r="B900" s="22"/>
    </row>
    <row r="901" spans="1:2" ht="12.75">
      <c r="A901" s="21"/>
      <c r="B901" s="22"/>
    </row>
    <row r="902" spans="1:2" ht="12.75">
      <c r="A902" s="21"/>
      <c r="B902" s="22"/>
    </row>
    <row r="903" spans="1:2" ht="12.75">
      <c r="A903" s="21"/>
      <c r="B903" s="22"/>
    </row>
    <row r="904" spans="1:2" ht="12.75">
      <c r="A904" s="21"/>
      <c r="B904" s="22"/>
    </row>
    <row r="905" spans="1:2" ht="12.75">
      <c r="A905" s="21"/>
      <c r="B905" s="22"/>
    </row>
    <row r="906" spans="1:2" ht="12.75">
      <c r="A906" s="21"/>
      <c r="B906" s="22"/>
    </row>
    <row r="907" spans="1:2" ht="12.75">
      <c r="A907" s="21"/>
      <c r="B907" s="22"/>
    </row>
    <row r="908" spans="1:2" ht="12.75">
      <c r="A908" s="21"/>
      <c r="B908" s="22"/>
    </row>
    <row r="909" spans="1:2" ht="12.75">
      <c r="A909" s="21"/>
      <c r="B909" s="22"/>
    </row>
    <row r="910" spans="1:2" ht="12.75">
      <c r="A910" s="21"/>
      <c r="B910" s="22"/>
    </row>
    <row r="911" spans="1:2" ht="12.75">
      <c r="A911" s="21"/>
      <c r="B911" s="22"/>
    </row>
    <row r="912" spans="1:2" ht="12.75">
      <c r="A912" s="21"/>
      <c r="B912" s="22"/>
    </row>
    <row r="913" spans="1:2" ht="12.75">
      <c r="A913" s="21"/>
      <c r="B913" s="22"/>
    </row>
    <row r="914" spans="1:2" ht="12.75">
      <c r="A914" s="21"/>
      <c r="B914" s="22"/>
    </row>
    <row r="915" spans="1:2" ht="12.75">
      <c r="A915" s="21"/>
      <c r="B915" s="22"/>
    </row>
    <row r="916" spans="1:2" ht="12.75">
      <c r="A916" s="21"/>
      <c r="B916" s="22"/>
    </row>
    <row r="917" spans="1:2" ht="12.75">
      <c r="A917" s="21"/>
      <c r="B917" s="22"/>
    </row>
    <row r="918" spans="1:2" ht="12.75">
      <c r="A918" s="21"/>
      <c r="B918" s="22"/>
    </row>
    <row r="919" spans="1:2" ht="12.75">
      <c r="A919" s="21"/>
      <c r="B919" s="22"/>
    </row>
    <row r="920" spans="1:2" ht="12.75">
      <c r="A920" s="21"/>
      <c r="B920" s="22"/>
    </row>
    <row r="921" spans="1:2" ht="12.75">
      <c r="A921" s="21"/>
      <c r="B921" s="22"/>
    </row>
    <row r="922" spans="1:2" ht="12.75">
      <c r="A922" s="21"/>
      <c r="B922" s="22"/>
    </row>
    <row r="923" spans="1:2" ht="12.75">
      <c r="A923" s="21"/>
      <c r="B923" s="22"/>
    </row>
    <row r="924" spans="1:2" ht="12.75">
      <c r="A924" s="21"/>
      <c r="B924" s="22"/>
    </row>
    <row r="925" spans="1:2" ht="12.75">
      <c r="A925" s="21"/>
      <c r="B925" s="22"/>
    </row>
    <row r="926" spans="1:2" ht="12.75">
      <c r="A926" s="21"/>
      <c r="B926" s="22"/>
    </row>
    <row r="927" spans="1:2" ht="12.75">
      <c r="A927" s="21"/>
      <c r="B927" s="22"/>
    </row>
    <row r="928" spans="1:2" ht="12.75">
      <c r="A928" s="21"/>
      <c r="B928" s="22"/>
    </row>
    <row r="929" spans="1:2" ht="12.75">
      <c r="A929" s="21"/>
      <c r="B929" s="22"/>
    </row>
    <row r="930" spans="1:2" ht="12.75">
      <c r="A930" s="21"/>
      <c r="B930" s="22"/>
    </row>
    <row r="931" spans="1:2" ht="12.75">
      <c r="A931" s="21"/>
      <c r="B931" s="22"/>
    </row>
    <row r="932" spans="1:2" ht="12.75">
      <c r="A932" s="21"/>
      <c r="B932" s="22"/>
    </row>
    <row r="933" spans="1:2" ht="12.75">
      <c r="A933" s="21"/>
      <c r="B933" s="22"/>
    </row>
    <row r="934" spans="1:2" ht="12.75">
      <c r="A934" s="21"/>
      <c r="B934" s="22"/>
    </row>
    <row r="935" spans="1:2" ht="12.75">
      <c r="A935" s="21"/>
      <c r="B935" s="22"/>
    </row>
    <row r="936" spans="1:2" ht="12.75">
      <c r="A936" s="21"/>
      <c r="B936" s="22"/>
    </row>
    <row r="937" spans="1:2" ht="12.75">
      <c r="A937" s="21"/>
      <c r="B937" s="22"/>
    </row>
    <row r="938" spans="1:2" ht="12.75">
      <c r="A938" s="21"/>
      <c r="B938" s="22"/>
    </row>
    <row r="939" spans="1:2" ht="12.75">
      <c r="A939" s="21"/>
      <c r="B939" s="22"/>
    </row>
    <row r="940" spans="1:2" ht="12.75">
      <c r="A940" s="21"/>
      <c r="B940" s="22"/>
    </row>
    <row r="941" spans="1:2" ht="12.75">
      <c r="A941" s="21"/>
      <c r="B941" s="22"/>
    </row>
    <row r="942" spans="1:2" ht="12.75">
      <c r="A942" s="21"/>
      <c r="B942" s="22"/>
    </row>
    <row r="943" spans="1:2" ht="12.75">
      <c r="A943" s="21"/>
      <c r="B943" s="22"/>
    </row>
    <row r="944" spans="1:2" ht="12.75">
      <c r="A944" s="21"/>
      <c r="B944" s="22"/>
    </row>
    <row r="945" spans="1:2" ht="12.75">
      <c r="A945" s="21"/>
      <c r="B945" s="22"/>
    </row>
    <row r="946" spans="1:2" ht="12.75">
      <c r="A946" s="21"/>
      <c r="B946" s="22"/>
    </row>
    <row r="947" spans="1:2" ht="12.75">
      <c r="A947" s="21"/>
      <c r="B947" s="22"/>
    </row>
    <row r="948" spans="1:2" ht="12.75">
      <c r="A948" s="21"/>
      <c r="B948" s="22"/>
    </row>
    <row r="949" spans="1:2" ht="12.75">
      <c r="A949" s="21"/>
      <c r="B949" s="22"/>
    </row>
    <row r="950" spans="1:2" ht="12.75">
      <c r="A950" s="21"/>
      <c r="B950" s="22"/>
    </row>
    <row r="951" spans="1:2" ht="12.75">
      <c r="A951" s="21"/>
      <c r="B951" s="22"/>
    </row>
    <row r="952" spans="1:2" ht="12.75">
      <c r="A952" s="21"/>
      <c r="B952" s="22"/>
    </row>
    <row r="953" spans="1:2" ht="12.75">
      <c r="A953" s="21"/>
      <c r="B953" s="22"/>
    </row>
    <row r="954" spans="1:2" ht="12.75">
      <c r="A954" s="21"/>
      <c r="B954" s="22"/>
    </row>
    <row r="955" spans="1:2" ht="12.75">
      <c r="A955" s="21"/>
      <c r="B955" s="22"/>
    </row>
    <row r="956" spans="1:2" ht="12.75">
      <c r="A956" s="21"/>
      <c r="B956" s="22"/>
    </row>
    <row r="957" spans="1:2" ht="12.75">
      <c r="A957" s="21"/>
      <c r="B957" s="22"/>
    </row>
    <row r="958" spans="1:2" ht="12.75">
      <c r="A958" s="21"/>
      <c r="B958" s="22"/>
    </row>
    <row r="959" spans="1:2" ht="12.75">
      <c r="A959" s="21"/>
      <c r="B959" s="22"/>
    </row>
    <row r="960" spans="1:2" ht="12.75">
      <c r="A960" s="21"/>
      <c r="B960" s="22"/>
    </row>
    <row r="961" spans="1:2" ht="12.75">
      <c r="A961" s="21"/>
      <c r="B961" s="22"/>
    </row>
    <row r="962" spans="1:2" ht="12.75">
      <c r="A962" s="21"/>
      <c r="B962" s="22"/>
    </row>
    <row r="963" spans="1:2" ht="12.75">
      <c r="A963" s="21"/>
      <c r="B963" s="22"/>
    </row>
    <row r="964" spans="1:2" ht="12.75">
      <c r="A964" s="21"/>
      <c r="B964" s="22"/>
    </row>
    <row r="965" spans="1:2" ht="12.75">
      <c r="A965" s="21"/>
      <c r="B965" s="22"/>
    </row>
    <row r="966" spans="1:2" ht="12.75">
      <c r="A966" s="21"/>
      <c r="B966" s="22"/>
    </row>
    <row r="967" spans="1:2" ht="12.75">
      <c r="A967" s="21"/>
      <c r="B967" s="22"/>
    </row>
    <row r="968" spans="1:2" ht="12.75">
      <c r="A968" s="21"/>
      <c r="B968" s="22"/>
    </row>
    <row r="969" spans="1:2" ht="12.75">
      <c r="A969" s="21"/>
      <c r="B969" s="22"/>
    </row>
    <row r="970" spans="1:2" ht="12.75">
      <c r="A970" s="21"/>
      <c r="B970" s="22"/>
    </row>
    <row r="971" spans="1:2" ht="12.75">
      <c r="A971" s="21"/>
      <c r="B971" s="22"/>
    </row>
    <row r="972" spans="1:2" ht="12.75">
      <c r="A972" s="21"/>
      <c r="B972" s="22"/>
    </row>
    <row r="973" spans="1:2" ht="12.75">
      <c r="A973" s="21"/>
      <c r="B973" s="22"/>
    </row>
    <row r="974" spans="1:2" ht="12.75">
      <c r="A974" s="21"/>
      <c r="B974" s="22"/>
    </row>
    <row r="975" spans="1:2" ht="12.75">
      <c r="A975" s="21"/>
      <c r="B975" s="22"/>
    </row>
    <row r="976" spans="1:2" ht="12.75">
      <c r="A976" s="21"/>
      <c r="B976" s="22"/>
    </row>
    <row r="977" spans="1:2" ht="12.75">
      <c r="A977" s="21"/>
      <c r="B977" s="22"/>
    </row>
    <row r="978" spans="1:2" ht="12.75">
      <c r="A978" s="21"/>
      <c r="B978" s="22"/>
    </row>
    <row r="979" spans="1:2" ht="12.75">
      <c r="A979" s="21"/>
      <c r="B979" s="22"/>
    </row>
    <row r="980" spans="1:2" ht="12.75">
      <c r="A980" s="21"/>
      <c r="B980" s="22"/>
    </row>
    <row r="981" spans="1:2" ht="12.75">
      <c r="A981" s="21"/>
      <c r="B981" s="22"/>
    </row>
    <row r="982" spans="1:2" ht="12.75">
      <c r="A982" s="21"/>
      <c r="B982" s="22"/>
    </row>
    <row r="983" spans="1:2" ht="12.75">
      <c r="A983" s="21"/>
      <c r="B983" s="22"/>
    </row>
    <row r="984" spans="1:2" ht="12.75">
      <c r="A984" s="21"/>
      <c r="B984" s="22"/>
    </row>
    <row r="985" spans="1:2" ht="12.75">
      <c r="A985" s="21"/>
      <c r="B985" s="22"/>
    </row>
    <row r="986" spans="1:2" ht="12.75">
      <c r="A986" s="21"/>
      <c r="B986" s="22"/>
    </row>
    <row r="987" spans="1:2" ht="12.75">
      <c r="A987" s="21"/>
      <c r="B987" s="22"/>
    </row>
    <row r="988" spans="1:2" ht="12.75">
      <c r="A988" s="21"/>
      <c r="B988" s="22"/>
    </row>
    <row r="989" spans="1:2" ht="12.75">
      <c r="A989" s="21"/>
      <c r="B989" s="22"/>
    </row>
    <row r="990" spans="1:2" ht="12.75">
      <c r="A990" s="21"/>
      <c r="B990" s="22"/>
    </row>
    <row r="991" spans="1:2" ht="12.75">
      <c r="A991" s="21"/>
      <c r="B991" s="22"/>
    </row>
    <row r="992" spans="1:2" ht="12.75">
      <c r="A992" s="21"/>
      <c r="B992" s="22"/>
    </row>
    <row r="993" spans="1:2" ht="12.75">
      <c r="A993" s="21"/>
      <c r="B993" s="22"/>
    </row>
    <row r="994" spans="1:2" ht="12.75">
      <c r="A994" s="21"/>
      <c r="B994" s="22"/>
    </row>
    <row r="995" spans="1:2" ht="12.75">
      <c r="A995" s="21"/>
      <c r="B995" s="22"/>
    </row>
    <row r="996" spans="1:2" ht="12.75">
      <c r="A996" s="21"/>
      <c r="B996" s="22"/>
    </row>
    <row r="997" spans="1:2" ht="12.75">
      <c r="A997" s="21"/>
      <c r="B997" s="22"/>
    </row>
    <row r="998" spans="1:2" ht="12.75">
      <c r="A998" s="21"/>
      <c r="B998" s="22"/>
    </row>
    <row r="999" spans="1:2" ht="12.75">
      <c r="A999" s="21"/>
      <c r="B999" s="22"/>
    </row>
    <row r="1000" spans="1:2" ht="12.75">
      <c r="A1000" s="21"/>
      <c r="B1000" s="22"/>
    </row>
    <row r="1001" spans="1:2" ht="12.75">
      <c r="A1001" s="21"/>
      <c r="B1001" s="22"/>
    </row>
    <row r="1002" spans="1:2" ht="12.75">
      <c r="A1002" s="21"/>
      <c r="B1002" s="22"/>
    </row>
    <row r="1003" spans="1:2" ht="12.75">
      <c r="A1003" s="21"/>
      <c r="B1003" s="22"/>
    </row>
    <row r="1004" spans="1:2" ht="12.75">
      <c r="A1004" s="21"/>
      <c r="B1004" s="22"/>
    </row>
    <row r="1005" spans="1:2" ht="12.75">
      <c r="A1005" s="21"/>
      <c r="B1005" s="22"/>
    </row>
    <row r="1006" spans="1:2" ht="12.75">
      <c r="A1006" s="21"/>
      <c r="B1006" s="22"/>
    </row>
    <row r="1007" spans="1:2" ht="12.75">
      <c r="A1007" s="21"/>
      <c r="B1007" s="22"/>
    </row>
    <row r="1008" spans="1:2" ht="12.75">
      <c r="A1008" s="21"/>
      <c r="B1008" s="22"/>
    </row>
    <row r="1009" spans="1:2" ht="12.75">
      <c r="A1009" s="21"/>
      <c r="B1009" s="22"/>
    </row>
    <row r="1010" spans="1:2" ht="12.75">
      <c r="A1010" s="21"/>
      <c r="B1010" s="22"/>
    </row>
    <row r="1011" spans="1:2" ht="12.75">
      <c r="A1011" s="21"/>
      <c r="B1011" s="22"/>
    </row>
    <row r="1012" spans="1:2" ht="12.75">
      <c r="A1012" s="21"/>
      <c r="B1012" s="22"/>
    </row>
    <row r="1013" spans="1:2" ht="12.75">
      <c r="A1013" s="21"/>
      <c r="B1013" s="22"/>
    </row>
    <row r="1014" spans="1:2" ht="12.75">
      <c r="A1014" s="21"/>
      <c r="B1014" s="22"/>
    </row>
    <row r="1015" spans="1:2" ht="12.75">
      <c r="A1015" s="21"/>
      <c r="B1015" s="22"/>
    </row>
    <row r="1016" spans="1:2" ht="12.75">
      <c r="A1016" s="21"/>
      <c r="B1016" s="22"/>
    </row>
    <row r="1017" spans="1:2" ht="12.75">
      <c r="A1017" s="21"/>
      <c r="B1017" s="22"/>
    </row>
    <row r="1018" spans="1:2" ht="12.75">
      <c r="A1018" s="21"/>
      <c r="B1018" s="22"/>
    </row>
    <row r="1019" spans="1:2" ht="12.75">
      <c r="A1019" s="21"/>
      <c r="B1019" s="22"/>
    </row>
    <row r="1020" spans="1:2" ht="12.75">
      <c r="A1020" s="21"/>
      <c r="B1020" s="22"/>
    </row>
    <row r="1021" spans="1:2" ht="12.75">
      <c r="A1021" s="21"/>
      <c r="B1021" s="22"/>
    </row>
    <row r="1022" spans="1:2" ht="12.75">
      <c r="A1022" s="21"/>
      <c r="B1022" s="22"/>
    </row>
    <row r="1023" spans="1:2" ht="12.75">
      <c r="A1023" s="21"/>
      <c r="B1023" s="22"/>
    </row>
    <row r="1024" spans="1:2" ht="12.75">
      <c r="A1024" s="21"/>
      <c r="B1024" s="22"/>
    </row>
    <row r="1025" spans="1:2" ht="12.75">
      <c r="A1025" s="21"/>
      <c r="B1025" s="22"/>
    </row>
    <row r="1026" spans="1:2" ht="12.75">
      <c r="A1026" s="21"/>
      <c r="B1026" s="22"/>
    </row>
    <row r="1027" spans="1:2" ht="12.75">
      <c r="A1027" s="21"/>
      <c r="B1027" s="22"/>
    </row>
    <row r="1028" spans="1:2" ht="12.75">
      <c r="A1028" s="21"/>
      <c r="B1028" s="22"/>
    </row>
    <row r="1029" spans="1:2" ht="12.75">
      <c r="A1029" s="21"/>
      <c r="B1029" s="22"/>
    </row>
    <row r="1030" spans="1:2" ht="12.75">
      <c r="A1030" s="21"/>
      <c r="B1030" s="22"/>
    </row>
    <row r="1031" spans="1:2" ht="12.75">
      <c r="A1031" s="21"/>
      <c r="B1031" s="22"/>
    </row>
    <row r="1032" spans="1:2" ht="12.75">
      <c r="A1032" s="21"/>
      <c r="B1032" s="22"/>
    </row>
    <row r="1033" spans="1:2" ht="12.75">
      <c r="A1033" s="21"/>
      <c r="B1033" s="22"/>
    </row>
    <row r="1034" spans="1:2" ht="12.75">
      <c r="A1034" s="21"/>
      <c r="B1034" s="22"/>
    </row>
    <row r="1035" spans="1:2" ht="12.75">
      <c r="A1035" s="21"/>
      <c r="B1035" s="22"/>
    </row>
    <row r="1036" spans="1:2" ht="12.75">
      <c r="A1036" s="21"/>
      <c r="B1036" s="22"/>
    </row>
    <row r="1037" spans="1:2" ht="12.75">
      <c r="A1037" s="21"/>
      <c r="B1037" s="22"/>
    </row>
    <row r="1038" spans="1:2" ht="12.75">
      <c r="A1038" s="21"/>
      <c r="B1038" s="22"/>
    </row>
    <row r="1039" spans="1:2" ht="12.75">
      <c r="A1039" s="21"/>
      <c r="B1039" s="22"/>
    </row>
    <row r="1040" spans="1:2" ht="12.75">
      <c r="A1040" s="21"/>
      <c r="B1040" s="22"/>
    </row>
    <row r="1041" spans="1:2" ht="12.75">
      <c r="A1041" s="21"/>
      <c r="B1041" s="22"/>
    </row>
    <row r="1042" spans="1:2" ht="12.75">
      <c r="A1042" s="21"/>
      <c r="B1042" s="22"/>
    </row>
    <row r="1043" spans="1:2" ht="12.75">
      <c r="A1043" s="21"/>
      <c r="B1043" s="22"/>
    </row>
    <row r="1044" spans="1:2" ht="12.75">
      <c r="A1044" s="21"/>
      <c r="B1044" s="22"/>
    </row>
    <row r="1045" spans="1:2" ht="12.75">
      <c r="A1045" s="21"/>
      <c r="B1045" s="22"/>
    </row>
    <row r="1046" spans="1:2" ht="12.75">
      <c r="A1046" s="21"/>
      <c r="B1046" s="22"/>
    </row>
    <row r="1047" spans="1:2" ht="12.75">
      <c r="A1047" s="21"/>
      <c r="B1047" s="22"/>
    </row>
    <row r="1048" spans="1:2" ht="12.75">
      <c r="A1048" s="21"/>
      <c r="B1048" s="22"/>
    </row>
    <row r="1049" spans="1:2" ht="12.75">
      <c r="A1049" s="21"/>
      <c r="B1049" s="22"/>
    </row>
    <row r="1050" spans="1:2" ht="12.75">
      <c r="A1050" s="21"/>
      <c r="B1050" s="22"/>
    </row>
    <row r="1051" spans="1:2" ht="12.75">
      <c r="A1051" s="21"/>
      <c r="B1051" s="22"/>
    </row>
    <row r="1052" spans="1:2" ht="12.75">
      <c r="A1052" s="21"/>
      <c r="B1052" s="22"/>
    </row>
    <row r="1053" spans="1:2" ht="12.75">
      <c r="A1053" s="21"/>
      <c r="B1053" s="22"/>
    </row>
    <row r="1054" spans="1:2" ht="12.75">
      <c r="A1054" s="21"/>
      <c r="B1054" s="22"/>
    </row>
    <row r="1055" spans="1:2" ht="12.75">
      <c r="A1055" s="21"/>
      <c r="B1055" s="22"/>
    </row>
    <row r="1056" spans="1:2" ht="12.75">
      <c r="A1056" s="21"/>
      <c r="B1056" s="22"/>
    </row>
    <row r="1057" spans="1:2" ht="12.75">
      <c r="A1057" s="21"/>
      <c r="B1057" s="22"/>
    </row>
    <row r="1058" spans="1:2" ht="12.75">
      <c r="A1058" s="21"/>
      <c r="B1058" s="22"/>
    </row>
    <row r="1059" spans="1:2" ht="12.75">
      <c r="A1059" s="21"/>
      <c r="B1059" s="22"/>
    </row>
    <row r="1060" spans="1:2" ht="12.75">
      <c r="A1060" s="21"/>
      <c r="B1060" s="22"/>
    </row>
    <row r="1061" spans="1:2" ht="12.75">
      <c r="A1061" s="21"/>
      <c r="B1061" s="22"/>
    </row>
    <row r="1062" spans="1:2" ht="12.75">
      <c r="A1062" s="21"/>
      <c r="B1062" s="22"/>
    </row>
    <row r="1063" spans="1:2" ht="12.75">
      <c r="A1063" s="21"/>
      <c r="B1063" s="22"/>
    </row>
    <row r="1064" spans="1:2" ht="12.75">
      <c r="A1064" s="21"/>
      <c r="B1064" s="22"/>
    </row>
    <row r="1065" spans="1:2" ht="12.75">
      <c r="A1065" s="21"/>
      <c r="B1065" s="22"/>
    </row>
    <row r="1066" spans="1:2" ht="12.75">
      <c r="A1066" s="21"/>
      <c r="B1066" s="22"/>
    </row>
    <row r="1067" spans="1:2" ht="12.75">
      <c r="A1067" s="21"/>
      <c r="B1067" s="22"/>
    </row>
    <row r="1068" spans="1:2" ht="12.75">
      <c r="A1068" s="21"/>
      <c r="B1068" s="22"/>
    </row>
    <row r="1069" spans="1:2" ht="12.75">
      <c r="A1069" s="21"/>
      <c r="B1069" s="22"/>
    </row>
    <row r="1070" spans="1:2" ht="12.75">
      <c r="A1070" s="21"/>
      <c r="B1070" s="22"/>
    </row>
    <row r="1071" spans="1:2" ht="12.75">
      <c r="A1071" s="21"/>
      <c r="B1071" s="22"/>
    </row>
    <row r="1072" spans="1:2" ht="12.75">
      <c r="A1072" s="21"/>
      <c r="B1072" s="22"/>
    </row>
    <row r="1073" spans="1:2" ht="12.75">
      <c r="A1073" s="21"/>
      <c r="B1073" s="22"/>
    </row>
    <row r="1074" spans="1:2" ht="12.75">
      <c r="A1074" s="21"/>
      <c r="B1074" s="22"/>
    </row>
    <row r="1075" spans="1:2" ht="12.75">
      <c r="A1075" s="21"/>
      <c r="B1075" s="22"/>
    </row>
    <row r="1076" spans="1:2" ht="12.75">
      <c r="A1076" s="21"/>
      <c r="B1076" s="22"/>
    </row>
    <row r="1077" spans="1:2" ht="12.75">
      <c r="A1077" s="21"/>
      <c r="B1077" s="22"/>
    </row>
    <row r="1078" spans="1:2" ht="12.75">
      <c r="A1078" s="21"/>
      <c r="B1078" s="22"/>
    </row>
    <row r="1079" spans="1:2" ht="12.75">
      <c r="A1079" s="21"/>
      <c r="B1079" s="22"/>
    </row>
    <row r="1080" spans="1:2" ht="12.75">
      <c r="A1080" s="21"/>
      <c r="B1080" s="22"/>
    </row>
    <row r="1081" spans="1:2" ht="12.75">
      <c r="A1081" s="21"/>
      <c r="B1081" s="22"/>
    </row>
    <row r="1082" spans="1:2" ht="12.75">
      <c r="A1082" s="21"/>
      <c r="B1082" s="22"/>
    </row>
    <row r="1083" spans="1:2" ht="12.75">
      <c r="A1083" s="21"/>
      <c r="B1083" s="22"/>
    </row>
    <row r="1084" spans="1:2" ht="12.75">
      <c r="A1084" s="21"/>
      <c r="B1084" s="22"/>
    </row>
    <row r="1085" spans="1:2" ht="12.75">
      <c r="A1085" s="21"/>
      <c r="B1085" s="22"/>
    </row>
    <row r="1086" spans="1:2" ht="12.75">
      <c r="A1086" s="21"/>
      <c r="B1086" s="22"/>
    </row>
    <row r="1087" spans="1:2" ht="12.75">
      <c r="A1087" s="21"/>
      <c r="B1087" s="22"/>
    </row>
    <row r="1088" spans="1:2" ht="12.75">
      <c r="A1088" s="21"/>
      <c r="B1088" s="22"/>
    </row>
    <row r="1089" spans="1:2" ht="12.75">
      <c r="A1089" s="21"/>
      <c r="B1089" s="22"/>
    </row>
    <row r="1090" spans="1:2" ht="12.75">
      <c r="A1090" s="21"/>
      <c r="B1090" s="22"/>
    </row>
    <row r="1091" spans="1:2" ht="12.75">
      <c r="A1091" s="21"/>
      <c r="B1091" s="22"/>
    </row>
    <row r="1092" spans="1:2" ht="12.75">
      <c r="A1092" s="21"/>
      <c r="B1092" s="22"/>
    </row>
    <row r="1093" spans="1:2" ht="12.75">
      <c r="A1093" s="21"/>
      <c r="B1093" s="22"/>
    </row>
    <row r="1094" spans="1:2" ht="12.75">
      <c r="A1094" s="21"/>
      <c r="B1094" s="22"/>
    </row>
    <row r="1095" spans="1:2" ht="12.75">
      <c r="A1095" s="21"/>
      <c r="B1095" s="22"/>
    </row>
    <row r="1096" spans="1:2" ht="12.75">
      <c r="A1096" s="21"/>
      <c r="B1096" s="22"/>
    </row>
    <row r="1097" spans="1:2" ht="12.75">
      <c r="A1097" s="21"/>
      <c r="B1097" s="22"/>
    </row>
    <row r="1098" spans="1:2" ht="12.75">
      <c r="A1098" s="21"/>
      <c r="B1098" s="22"/>
    </row>
    <row r="1099" spans="1:2" ht="12.75">
      <c r="A1099" s="21"/>
      <c r="B1099" s="22"/>
    </row>
    <row r="1100" spans="1:2" ht="12.75">
      <c r="A1100" s="21"/>
      <c r="B1100" s="22"/>
    </row>
    <row r="1101" spans="1:2" ht="12.75">
      <c r="A1101" s="21"/>
      <c r="B1101" s="22"/>
    </row>
    <row r="1102" spans="1:2" ht="12.75">
      <c r="A1102" s="21"/>
      <c r="B1102" s="22"/>
    </row>
    <row r="1103" spans="1:2" ht="12.75">
      <c r="A1103" s="21"/>
      <c r="B1103" s="22"/>
    </row>
    <row r="1104" spans="1:2" ht="12.75">
      <c r="A1104" s="21"/>
      <c r="B1104" s="22"/>
    </row>
    <row r="1105" spans="1:2" ht="12.75">
      <c r="A1105" s="21"/>
      <c r="B1105" s="22"/>
    </row>
    <row r="1106" spans="1:2" ht="12.75">
      <c r="A1106" s="21"/>
      <c r="B1106" s="22"/>
    </row>
    <row r="1107" spans="1:2" ht="12.75">
      <c r="A1107" s="21"/>
      <c r="B1107" s="22"/>
    </row>
    <row r="1108" spans="1:2" ht="12.75">
      <c r="A1108" s="21"/>
      <c r="B1108" s="22"/>
    </row>
    <row r="1109" spans="1:2" ht="12.75">
      <c r="A1109" s="21"/>
      <c r="B1109" s="22"/>
    </row>
    <row r="1110" spans="1:2" ht="12.75">
      <c r="A1110" s="21"/>
      <c r="B1110" s="22"/>
    </row>
    <row r="1111" spans="1:2" ht="12.75">
      <c r="A1111" s="21"/>
      <c r="B1111" s="22"/>
    </row>
    <row r="1112" spans="1:2" ht="12.75">
      <c r="A1112" s="21"/>
      <c r="B1112" s="22"/>
    </row>
    <row r="1113" spans="1:2" ht="12.75">
      <c r="A1113" s="21"/>
      <c r="B1113" s="22"/>
    </row>
    <row r="1114" spans="1:2" ht="12.75">
      <c r="A1114" s="21"/>
      <c r="B1114" s="22"/>
    </row>
    <row r="1115" spans="1:2" ht="12.75">
      <c r="A1115" s="21"/>
      <c r="B1115" s="22"/>
    </row>
    <row r="1116" spans="1:2" ht="12.75">
      <c r="A1116" s="21"/>
      <c r="B1116" s="22"/>
    </row>
    <row r="1117" spans="1:2" ht="12.75">
      <c r="A1117" s="21"/>
      <c r="B1117" s="22"/>
    </row>
    <row r="1118" spans="1:2" ht="12.75">
      <c r="A1118" s="21"/>
      <c r="B1118" s="22"/>
    </row>
    <row r="1119" spans="1:2" ht="12.75">
      <c r="A1119" s="21"/>
      <c r="B1119" s="22"/>
    </row>
    <row r="1120" spans="1:2" ht="12.75">
      <c r="A1120" s="21"/>
      <c r="B1120" s="22"/>
    </row>
    <row r="1121" spans="1:2" ht="12.75">
      <c r="A1121" s="21"/>
      <c r="B1121" s="22"/>
    </row>
    <row r="1122" spans="1:2" ht="12.75">
      <c r="A1122" s="21"/>
      <c r="B1122" s="22"/>
    </row>
    <row r="1123" spans="1:2" ht="12.75">
      <c r="A1123" s="21"/>
      <c r="B1123" s="22"/>
    </row>
    <row r="1124" spans="1:2" ht="12.75">
      <c r="A1124" s="21"/>
      <c r="B1124" s="22"/>
    </row>
    <row r="1125" spans="1:2" ht="12.75">
      <c r="A1125" s="21"/>
      <c r="B1125" s="22"/>
    </row>
    <row r="1126" spans="1:2" ht="12.75">
      <c r="A1126" s="21"/>
      <c r="B1126" s="22"/>
    </row>
    <row r="1127" spans="1:2" ht="12.75">
      <c r="A1127" s="21"/>
      <c r="B1127" s="22"/>
    </row>
    <row r="1128" spans="1:2" ht="12.75">
      <c r="A1128" s="21"/>
      <c r="B1128" s="22"/>
    </row>
    <row r="1129" spans="1:2" ht="12.75">
      <c r="A1129" s="21"/>
      <c r="B1129" s="22"/>
    </row>
    <row r="1130" spans="1:2" ht="12.75">
      <c r="A1130" s="21"/>
      <c r="B1130" s="22"/>
    </row>
    <row r="1131" spans="1:2" ht="12.75">
      <c r="A1131" s="21"/>
      <c r="B1131" s="22"/>
    </row>
    <row r="1132" spans="1:2" ht="12.75">
      <c r="A1132" s="21"/>
      <c r="B1132" s="22"/>
    </row>
    <row r="1133" spans="1:2" ht="12.75">
      <c r="A1133" s="21"/>
      <c r="B1133" s="22"/>
    </row>
    <row r="1134" spans="1:2" ht="12.75">
      <c r="A1134" s="21"/>
      <c r="B1134" s="22"/>
    </row>
    <row r="1135" spans="1:2" ht="12.75">
      <c r="A1135" s="21"/>
      <c r="B1135" s="22"/>
    </row>
    <row r="1136" spans="1:2" ht="12.75">
      <c r="A1136" s="21"/>
      <c r="B1136" s="22"/>
    </row>
    <row r="1137" spans="1:2" ht="12.75">
      <c r="A1137" s="21"/>
      <c r="B1137" s="22"/>
    </row>
    <row r="1138" spans="1:2" ht="12.75">
      <c r="A1138" s="21"/>
      <c r="B1138" s="22"/>
    </row>
    <row r="1139" spans="1:2" ht="12.75">
      <c r="A1139" s="21"/>
      <c r="B1139" s="22"/>
    </row>
    <row r="1140" spans="1:2" ht="12.75">
      <c r="A1140" s="21"/>
      <c r="B1140" s="22"/>
    </row>
    <row r="1141" spans="1:2" ht="12.75">
      <c r="A1141" s="21"/>
      <c r="B1141" s="22"/>
    </row>
    <row r="1142" spans="1:2" ht="12.75">
      <c r="A1142" s="21"/>
      <c r="B1142" s="22"/>
    </row>
    <row r="1143" spans="1:2" ht="12.75">
      <c r="A1143" s="21"/>
      <c r="B1143" s="22"/>
    </row>
    <row r="1144" spans="1:2" ht="12.75">
      <c r="A1144" s="21"/>
      <c r="B1144" s="22"/>
    </row>
    <row r="1145" spans="1:2" ht="12.75">
      <c r="A1145" s="21"/>
      <c r="B1145" s="22"/>
    </row>
    <row r="1146" spans="1:2" ht="12.75">
      <c r="A1146" s="21"/>
      <c r="B1146" s="22"/>
    </row>
    <row r="1147" spans="1:2" ht="12.75">
      <c r="A1147" s="21"/>
      <c r="B1147" s="22"/>
    </row>
    <row r="1148" spans="1:2" ht="12.75">
      <c r="A1148" s="21"/>
      <c r="B1148" s="22"/>
    </row>
    <row r="1149" spans="1:2" ht="12.75">
      <c r="A1149" s="21"/>
      <c r="B1149" s="22"/>
    </row>
    <row r="1150" spans="1:2" ht="12.75">
      <c r="A1150" s="21"/>
      <c r="B1150" s="22"/>
    </row>
    <row r="1151" spans="1:2" ht="12.75">
      <c r="A1151" s="21"/>
      <c r="B1151" s="22"/>
    </row>
    <row r="1152" spans="1:2" ht="12.75">
      <c r="A1152" s="21"/>
      <c r="B1152" s="22"/>
    </row>
    <row r="1153" spans="1:2" ht="12.75">
      <c r="A1153" s="21"/>
      <c r="B1153" s="22"/>
    </row>
    <row r="1154" spans="1:2" ht="12.75">
      <c r="A1154" s="21"/>
      <c r="B1154" s="22"/>
    </row>
    <row r="1155" spans="1:2" ht="12.75">
      <c r="A1155" s="21"/>
      <c r="B1155" s="22"/>
    </row>
    <row r="1156" spans="1:2" ht="12.75">
      <c r="A1156" s="21"/>
      <c r="B1156" s="22"/>
    </row>
    <row r="1157" spans="1:2" ht="12.75">
      <c r="A1157" s="21"/>
      <c r="B1157" s="22"/>
    </row>
    <row r="1158" spans="1:2" ht="12.75">
      <c r="A1158" s="21"/>
      <c r="B1158" s="22"/>
    </row>
    <row r="1159" spans="1:2" ht="12.75">
      <c r="A1159" s="21"/>
      <c r="B1159" s="22"/>
    </row>
    <row r="1160" spans="1:2" ht="12.75">
      <c r="A1160" s="21"/>
      <c r="B1160" s="22"/>
    </row>
    <row r="1161" spans="1:2" ht="12.75">
      <c r="A1161" s="21"/>
      <c r="B1161" s="22"/>
    </row>
    <row r="1162" spans="1:2" ht="12.75">
      <c r="A1162" s="21"/>
      <c r="B1162" s="22"/>
    </row>
    <row r="1163" spans="1:2" ht="12.75">
      <c r="A1163" s="21"/>
      <c r="B1163" s="22"/>
    </row>
    <row r="1164" spans="1:2" ht="12.75">
      <c r="A1164" s="21"/>
      <c r="B1164" s="22"/>
    </row>
    <row r="1165" spans="1:2" ht="12.75">
      <c r="A1165" s="21"/>
      <c r="B1165" s="22"/>
    </row>
    <row r="1166" spans="1:2" ht="12.75">
      <c r="A1166" s="21"/>
      <c r="B1166" s="22"/>
    </row>
    <row r="1167" spans="1:2" ht="12.75">
      <c r="A1167" s="21"/>
      <c r="B1167" s="22"/>
    </row>
    <row r="1168" spans="1:2" ht="12.75">
      <c r="A1168" s="21"/>
      <c r="B1168" s="22"/>
    </row>
    <row r="1169" spans="1:2" ht="12.75">
      <c r="A1169" s="21"/>
      <c r="B1169" s="22"/>
    </row>
    <row r="1170" spans="1:2" ht="12.75">
      <c r="A1170" s="21"/>
      <c r="B1170" s="22"/>
    </row>
    <row r="1171" spans="1:2" ht="12.75">
      <c r="A1171" s="21"/>
      <c r="B1171" s="22"/>
    </row>
    <row r="1172" spans="1:2" ht="12.75">
      <c r="A1172" s="21"/>
      <c r="B1172" s="22"/>
    </row>
    <row r="1173" spans="1:2" ht="12.75">
      <c r="A1173" s="21"/>
      <c r="B1173" s="22"/>
    </row>
    <row r="1174" spans="1:2" ht="12.75">
      <c r="A1174" s="21"/>
      <c r="B1174" s="22"/>
    </row>
    <row r="1175" spans="1:2" ht="12.75">
      <c r="A1175" s="21"/>
      <c r="B1175" s="22"/>
    </row>
    <row r="1176" spans="1:2" ht="12.75">
      <c r="A1176" s="21"/>
      <c r="B1176" s="22"/>
    </row>
    <row r="1177" spans="1:2" ht="12.75">
      <c r="A1177" s="21"/>
      <c r="B1177" s="22"/>
    </row>
    <row r="1178" spans="1:2" ht="12.75">
      <c r="A1178" s="21"/>
      <c r="B1178" s="22"/>
    </row>
    <row r="1179" spans="1:2" ht="12.75">
      <c r="A1179" s="21"/>
      <c r="B1179" s="22"/>
    </row>
    <row r="1180" spans="1:2" ht="12.75">
      <c r="A1180" s="21"/>
      <c r="B1180" s="22"/>
    </row>
    <row r="1181" spans="1:2" ht="12.75">
      <c r="A1181" s="21"/>
      <c r="B1181" s="22"/>
    </row>
    <row r="1182" spans="1:2" ht="12.75">
      <c r="A1182" s="21"/>
      <c r="B1182" s="22"/>
    </row>
    <row r="1183" spans="1:2" ht="12.75">
      <c r="A1183" s="21"/>
      <c r="B1183" s="22"/>
    </row>
    <row r="1184" spans="1:2" ht="12.75">
      <c r="A1184" s="21"/>
      <c r="B1184" s="22"/>
    </row>
    <row r="1185" spans="1:2" ht="12.75">
      <c r="A1185" s="21"/>
      <c r="B1185" s="22"/>
    </row>
    <row r="1186" spans="1:2" ht="12.75">
      <c r="A1186" s="21"/>
      <c r="B1186" s="22"/>
    </row>
    <row r="1187" spans="1:2" ht="12.75">
      <c r="A1187" s="21"/>
      <c r="B1187" s="22"/>
    </row>
    <row r="1188" spans="1:2" ht="12.75">
      <c r="A1188" s="21"/>
      <c r="B1188" s="22"/>
    </row>
    <row r="1189" spans="1:2" ht="12.75">
      <c r="A1189" s="21"/>
      <c r="B1189" s="22"/>
    </row>
    <row r="1190" spans="1:2" ht="12.75">
      <c r="A1190" s="21"/>
      <c r="B1190" s="22"/>
    </row>
    <row r="1191" spans="1:2" ht="12.75">
      <c r="A1191" s="21"/>
      <c r="B1191" s="22"/>
    </row>
    <row r="1192" spans="1:2" ht="12.75">
      <c r="A1192" s="21"/>
      <c r="B1192" s="22"/>
    </row>
    <row r="1193" spans="1:2" ht="12.75">
      <c r="A1193" s="21"/>
      <c r="B1193" s="22"/>
    </row>
    <row r="1194" spans="1:2" ht="12.75">
      <c r="A1194" s="21"/>
      <c r="B1194" s="22"/>
    </row>
    <row r="1195" spans="1:2" ht="12.75">
      <c r="A1195" s="21"/>
      <c r="B1195" s="22"/>
    </row>
    <row r="1196" spans="1:2" ht="12.75">
      <c r="A1196" s="21"/>
      <c r="B1196" s="22"/>
    </row>
    <row r="1197" spans="1:2" ht="12.75">
      <c r="A1197" s="21"/>
      <c r="B1197" s="22"/>
    </row>
    <row r="1198" spans="1:2" ht="12.75">
      <c r="A1198" s="21"/>
      <c r="B1198" s="22"/>
    </row>
    <row r="1199" spans="1:2" ht="12.75">
      <c r="A1199" s="21"/>
      <c r="B1199" s="22"/>
    </row>
    <row r="1200" spans="1:2" ht="12.75">
      <c r="A1200" s="21"/>
      <c r="B1200" s="22"/>
    </row>
    <row r="1201" spans="1:2" ht="12.75">
      <c r="A1201" s="21"/>
      <c r="B1201" s="22"/>
    </row>
    <row r="1202" spans="1:2" ht="12.75">
      <c r="A1202" s="21"/>
      <c r="B1202" s="22"/>
    </row>
    <row r="1203" spans="1:2" ht="12.75">
      <c r="A1203" s="21"/>
      <c r="B1203" s="22"/>
    </row>
    <row r="1204" spans="1:2" ht="12.75">
      <c r="A1204" s="21"/>
      <c r="B1204" s="22"/>
    </row>
    <row r="1205" spans="1:2" ht="12.75">
      <c r="A1205" s="21"/>
      <c r="B1205" s="22"/>
    </row>
    <row r="1206" spans="1:2" ht="12.75">
      <c r="A1206" s="21"/>
      <c r="B1206" s="22"/>
    </row>
    <row r="1207" spans="1:2" ht="12.75">
      <c r="A1207" s="21"/>
      <c r="B1207" s="22"/>
    </row>
    <row r="1208" spans="1:2" ht="12.75">
      <c r="A1208" s="21"/>
      <c r="B1208" s="22"/>
    </row>
    <row r="1209" spans="1:2" ht="12.75">
      <c r="A1209" s="21"/>
      <c r="B1209" s="22"/>
    </row>
    <row r="1210" spans="1:2" ht="12.75">
      <c r="A1210" s="21"/>
      <c r="B1210" s="22"/>
    </row>
    <row r="1211" spans="1:2" ht="12.75">
      <c r="A1211" s="21"/>
      <c r="B1211" s="22"/>
    </row>
    <row r="1212" spans="1:2" ht="12.75">
      <c r="A1212" s="21"/>
      <c r="B1212" s="22"/>
    </row>
    <row r="1213" spans="1:2" ht="12.75">
      <c r="A1213" s="21"/>
      <c r="B1213" s="22"/>
    </row>
    <row r="1214" spans="1:2" ht="12.75">
      <c r="A1214" s="21"/>
      <c r="B1214" s="22"/>
    </row>
    <row r="1215" spans="1:2" ht="12.75">
      <c r="A1215" s="21"/>
      <c r="B1215" s="22"/>
    </row>
    <row r="1216" spans="1:2" ht="12.75">
      <c r="A1216" s="21"/>
      <c r="B1216" s="22"/>
    </row>
    <row r="1217" spans="1:2" ht="12.75">
      <c r="A1217" s="21"/>
      <c r="B1217" s="22"/>
    </row>
    <row r="1218" spans="1:2" ht="12.75">
      <c r="A1218" s="21"/>
      <c r="B1218" s="22"/>
    </row>
    <row r="1219" spans="1:2" ht="12.75">
      <c r="A1219" s="21"/>
      <c r="B1219" s="22"/>
    </row>
    <row r="1220" spans="1:2" ht="12.75">
      <c r="A1220" s="21"/>
      <c r="B1220" s="22"/>
    </row>
    <row r="1221" spans="1:2" ht="12.75">
      <c r="A1221" s="21"/>
      <c r="B1221" s="22"/>
    </row>
    <row r="1222" spans="1:2" ht="12.75">
      <c r="A1222" s="21"/>
      <c r="B1222" s="22"/>
    </row>
    <row r="1223" spans="1:2" ht="12.75">
      <c r="A1223" s="21"/>
      <c r="B1223" s="22"/>
    </row>
    <row r="1224" spans="1:2" ht="12.75">
      <c r="A1224" s="21"/>
      <c r="B1224" s="22"/>
    </row>
    <row r="1225" spans="1:2" ht="12.75">
      <c r="A1225" s="21"/>
      <c r="B1225" s="22"/>
    </row>
    <row r="1226" spans="1:2" ht="12.75">
      <c r="A1226" s="21"/>
      <c r="B1226" s="22"/>
    </row>
    <row r="1227" spans="1:2" ht="12.75">
      <c r="A1227" s="21"/>
      <c r="B1227" s="22"/>
    </row>
    <row r="1228" spans="1:2" ht="12.75">
      <c r="A1228" s="21"/>
      <c r="B1228" s="22"/>
    </row>
    <row r="1229" spans="1:2" ht="12.75">
      <c r="A1229" s="21"/>
      <c r="B1229" s="22"/>
    </row>
    <row r="1230" spans="1:2" ht="12.75">
      <c r="A1230" s="21"/>
      <c r="B1230" s="22"/>
    </row>
    <row r="1231" spans="1:2" ht="12.75">
      <c r="A1231" s="21"/>
      <c r="B1231" s="22"/>
    </row>
    <row r="1232" spans="1:2" ht="12.75">
      <c r="A1232" s="21"/>
      <c r="B1232" s="22"/>
    </row>
    <row r="1233" spans="1:2" ht="12.75">
      <c r="A1233" s="21"/>
      <c r="B1233" s="22"/>
    </row>
    <row r="1234" spans="1:2" ht="12.75">
      <c r="A1234" s="21"/>
      <c r="B1234" s="22"/>
    </row>
    <row r="1235" spans="1:2" ht="12.75">
      <c r="A1235" s="21"/>
      <c r="B1235" s="22"/>
    </row>
    <row r="1236" spans="1:2" ht="12.75">
      <c r="A1236" s="21"/>
      <c r="B1236" s="22"/>
    </row>
    <row r="1237" spans="1:2" ht="12.75">
      <c r="A1237" s="21"/>
      <c r="B1237" s="22"/>
    </row>
    <row r="1238" spans="1:2" ht="12.75">
      <c r="A1238" s="21"/>
      <c r="B1238" s="22"/>
    </row>
    <row r="1239" spans="1:2" ht="12.75">
      <c r="A1239" s="21"/>
      <c r="B1239" s="22"/>
    </row>
    <row r="1240" spans="1:2" ht="12.75">
      <c r="A1240" s="21"/>
      <c r="B1240" s="22"/>
    </row>
    <row r="1241" spans="1:2" ht="12.75">
      <c r="A1241" s="21"/>
      <c r="B1241" s="22"/>
    </row>
    <row r="1242" spans="1:2" ht="12.75">
      <c r="A1242" s="21"/>
      <c r="B1242" s="22"/>
    </row>
    <row r="1243" spans="1:2" ht="12.75">
      <c r="A1243" s="21"/>
      <c r="B1243" s="22"/>
    </row>
    <row r="1244" spans="1:2" ht="12.75">
      <c r="A1244" s="21"/>
      <c r="B1244" s="22"/>
    </row>
    <row r="1245" spans="1:2" ht="12.75">
      <c r="A1245" s="21"/>
      <c r="B1245" s="22"/>
    </row>
    <row r="1246" spans="1:2" ht="12.75">
      <c r="A1246" s="21"/>
      <c r="B1246" s="22"/>
    </row>
    <row r="1247" spans="1:2" ht="12.75">
      <c r="A1247" s="21"/>
      <c r="B1247" s="22"/>
    </row>
    <row r="1248" spans="1:2" ht="12.75">
      <c r="A1248" s="21"/>
      <c r="B1248" s="22"/>
    </row>
    <row r="1249" spans="1:2" ht="12.75">
      <c r="A1249" s="21"/>
      <c r="B1249" s="22"/>
    </row>
    <row r="1250" spans="1:2" ht="12.75">
      <c r="A1250" s="21"/>
      <c r="B1250" s="22"/>
    </row>
    <row r="1251" spans="1:2" ht="12.75">
      <c r="A1251" s="21"/>
      <c r="B1251" s="22"/>
    </row>
    <row r="1252" spans="1:2" ht="12.75">
      <c r="A1252" s="21"/>
      <c r="B1252" s="22"/>
    </row>
    <row r="1253" spans="1:2" ht="12.75">
      <c r="A1253" s="21"/>
      <c r="B1253" s="22"/>
    </row>
    <row r="1254" spans="1:2" ht="12.75">
      <c r="A1254" s="21"/>
      <c r="B1254" s="22"/>
    </row>
    <row r="1255" spans="1:2" ht="12.75">
      <c r="A1255" s="21"/>
      <c r="B1255" s="22"/>
    </row>
    <row r="1256" spans="1:2" ht="12.75">
      <c r="A1256" s="21"/>
      <c r="B1256" s="22"/>
    </row>
    <row r="1257" spans="1:2" ht="12.75">
      <c r="A1257" s="21"/>
      <c r="B1257" s="22"/>
    </row>
    <row r="1258" spans="1:2" ht="12.75">
      <c r="A1258" s="21"/>
      <c r="B1258" s="22"/>
    </row>
    <row r="1259" spans="1:2" ht="12.75">
      <c r="A1259" s="21"/>
      <c r="B1259" s="22"/>
    </row>
    <row r="1260" spans="1:2" ht="12.75">
      <c r="A1260" s="21"/>
      <c r="B1260" s="22"/>
    </row>
    <row r="1261" spans="1:2" ht="12.75">
      <c r="A1261" s="21"/>
      <c r="B1261" s="22"/>
    </row>
    <row r="1262" spans="1:2" ht="12.75">
      <c r="A1262" s="21"/>
      <c r="B1262" s="22"/>
    </row>
    <row r="1263" spans="1:2" ht="12.75">
      <c r="A1263" s="21"/>
      <c r="B1263" s="22"/>
    </row>
    <row r="1264" spans="1:2" ht="12.75">
      <c r="A1264" s="21"/>
      <c r="B1264" s="22"/>
    </row>
    <row r="1265" spans="1:2" ht="12.75">
      <c r="A1265" s="21"/>
      <c r="B1265" s="22"/>
    </row>
    <row r="1266" spans="1:2" ht="12.75">
      <c r="A1266" s="21"/>
      <c r="B1266" s="22"/>
    </row>
    <row r="1267" spans="1:2" ht="12.75">
      <c r="A1267" s="21"/>
      <c r="B1267" s="22"/>
    </row>
    <row r="1268" spans="1:2" ht="12.75">
      <c r="A1268" s="21"/>
      <c r="B1268" s="22"/>
    </row>
    <row r="1269" spans="1:2" ht="12.75">
      <c r="A1269" s="21"/>
      <c r="B1269" s="22"/>
    </row>
    <row r="1270" spans="1:2" ht="12.75">
      <c r="A1270" s="21"/>
      <c r="B1270" s="22"/>
    </row>
    <row r="1271" spans="1:2" ht="12.75">
      <c r="A1271" s="21"/>
      <c r="B1271" s="22"/>
    </row>
    <row r="1272" spans="1:2" ht="12.75">
      <c r="A1272" s="21"/>
      <c r="B1272" s="22"/>
    </row>
    <row r="1273" spans="1:2" ht="12.75">
      <c r="A1273" s="21"/>
      <c r="B1273" s="22"/>
    </row>
    <row r="1274" spans="1:2" ht="12.75">
      <c r="A1274" s="21"/>
      <c r="B1274" s="22"/>
    </row>
    <row r="1275" spans="1:2" ht="12.75">
      <c r="A1275" s="21"/>
      <c r="B1275" s="22"/>
    </row>
    <row r="1276" spans="1:2" ht="12.75">
      <c r="A1276" s="21"/>
      <c r="B1276" s="22"/>
    </row>
    <row r="1277" spans="1:2" ht="12.75">
      <c r="A1277" s="21"/>
      <c r="B1277" s="22"/>
    </row>
    <row r="1278" spans="1:2" ht="12.75">
      <c r="A1278" s="21"/>
      <c r="B1278" s="22"/>
    </row>
    <row r="1279" spans="1:2" ht="12.75">
      <c r="A1279" s="21"/>
      <c r="B1279" s="22"/>
    </row>
    <row r="1280" spans="1:2" ht="12.75">
      <c r="A1280" s="21"/>
      <c r="B1280" s="22"/>
    </row>
    <row r="1281" spans="1:2" ht="12.75">
      <c r="A1281" s="21"/>
      <c r="B1281" s="22"/>
    </row>
    <row r="1282" spans="1:2" ht="12.75">
      <c r="A1282" s="21"/>
      <c r="B1282" s="22"/>
    </row>
    <row r="1283" spans="1:2" ht="12.75">
      <c r="A1283" s="21"/>
      <c r="B1283" s="22"/>
    </row>
    <row r="1284" spans="1:2" ht="12.75">
      <c r="A1284" s="21"/>
      <c r="B1284" s="22"/>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Página1</vt:lpstr>
      <vt:lpstr>Página2</vt:lpstr>
      <vt:lpstr>resumos_relatorios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Anildo Junior</cp:lastModifiedBy>
  <dcterms:modified xsi:type="dcterms:W3CDTF">2026-07-14T15:20:56Z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2026-07-14T15:20:55Z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a9735ded-9f5b-43ce-a346-964657f2456d</vt:lpwstr>
  </property>
  <property fmtid="{D5CDD505-2E9C-101B-9397-08002B2CF9AE}" pid="7" name="MSIP_Label_defa4170-0d19-0005-0004-bc88714345d2_ActionId">
    <vt:lpwstr>34df887c-35c3-41df-8cbf-d24775d953d4</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